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45" windowWidth="20730" windowHeight="11700"/>
  </bookViews>
  <sheets>
    <sheet name="Лист1" sheetId="1" r:id="rId1"/>
  </sheets>
  <definedNames>
    <definedName name="_xlnm._FilterDatabase" localSheetId="0" hidden="1">Лист1!$A$1:$R$982</definedName>
  </definedNames>
  <calcPr calcId="145621"/>
</workbook>
</file>

<file path=xl/calcChain.xml><?xml version="1.0" encoding="utf-8"?>
<calcChain xmlns="http://schemas.openxmlformats.org/spreadsheetml/2006/main">
  <c r="W1003" i="1" l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<sst xmlns="http://schemas.openxmlformats.org/spreadsheetml/2006/main" count="4879" uniqueCount="440">
  <si>
    <t>Тюм.обл., Окружная автодорога г.Тюмень-г.Омск 16 км.</t>
  </si>
  <si>
    <t>Самовывоз</t>
  </si>
  <si>
    <t>Ганцев А.А.</t>
  </si>
  <si>
    <t>Перман Ю.В.</t>
  </si>
  <si>
    <t>Столяров Д.А.</t>
  </si>
  <si>
    <t xml:space="preserve">Батуев М.А.   </t>
  </si>
  <si>
    <t>Ипатов Ю.А.</t>
  </si>
  <si>
    <t>Дмитриев В.В.</t>
  </si>
  <si>
    <t>Газизов Л.Р.</t>
  </si>
  <si>
    <t>Дурнев Э.И.</t>
  </si>
  <si>
    <t>Галямов И.Г.</t>
  </si>
  <si>
    <t>Верхоланцев С.В.</t>
  </si>
  <si>
    <t>Кащигин А.И.</t>
  </si>
  <si>
    <t>Яценко Ю.Ф.</t>
  </si>
  <si>
    <t>Микулян Е.В.</t>
  </si>
  <si>
    <t>Малышкин С.А.</t>
  </si>
  <si>
    <t>Онышко В.А.</t>
  </si>
  <si>
    <t>Надточий В.В.</t>
  </si>
  <si>
    <t>Эрих И.А.</t>
  </si>
  <si>
    <t>Кенворт К190РХ86, ППЦ АТ750455</t>
  </si>
  <si>
    <t>Вольво У772КТ55, ППЦ АС877955</t>
  </si>
  <si>
    <t>Даф А709СО702, ППЦ ВН597702</t>
  </si>
  <si>
    <t>Мерседес Т957ВС55, ППЦ АР901355</t>
  </si>
  <si>
    <t>Ман С125КВ797, ППЦ АТ155755</t>
  </si>
  <si>
    <t>Вольво Т070СА102, ППЦ ВВ662102</t>
  </si>
  <si>
    <t>Ман М988ХЕ777, ППЦ УХ659777</t>
  </si>
  <si>
    <t>Р 919 ММ</t>
  </si>
  <si>
    <t>К 846 ХХ</t>
  </si>
  <si>
    <t>Т 070 СА</t>
  </si>
  <si>
    <t>К 399 ЕМ</t>
  </si>
  <si>
    <t>Р 004 УВ</t>
  </si>
  <si>
    <t>О 912 АА</t>
  </si>
  <si>
    <t>А 406 ОС</t>
  </si>
  <si>
    <t>А 670 ХК</t>
  </si>
  <si>
    <t>Т 054 ВМ</t>
  </si>
  <si>
    <t>Скания У918ЕО55, ППЦ АС814255</t>
  </si>
  <si>
    <t>Ман Х946МЕ55, ППЦ АС065855</t>
  </si>
  <si>
    <t>Скания У091СВ55, ППЦ АС481855</t>
  </si>
  <si>
    <t>О 919 ОР</t>
  </si>
  <si>
    <t>А 709 СО</t>
  </si>
  <si>
    <t>А 353 ЕТ</t>
  </si>
  <si>
    <t>А 886 ХК</t>
  </si>
  <si>
    <t>К 486 ЕМ</t>
  </si>
  <si>
    <t>К 470 ЕМ</t>
  </si>
  <si>
    <t>К 532 ЕМ</t>
  </si>
  <si>
    <t>К 377 ЕМ</t>
  </si>
  <si>
    <t>Кенворт</t>
  </si>
  <si>
    <t>Вольво</t>
  </si>
  <si>
    <t>Даф</t>
  </si>
  <si>
    <t>Мерседес</t>
  </si>
  <si>
    <t>Ман</t>
  </si>
  <si>
    <t>Скания</t>
  </si>
  <si>
    <t>АТ750455</t>
  </si>
  <si>
    <t>АС877955</t>
  </si>
  <si>
    <t>ВН597702</t>
  </si>
  <si>
    <t>АР901355</t>
  </si>
  <si>
    <t>АТ155755</t>
  </si>
  <si>
    <t>ЕМ355377</t>
  </si>
  <si>
    <t>ВК413802</t>
  </si>
  <si>
    <t>ВВ662102</t>
  </si>
  <si>
    <t>ВЕ058363</t>
  </si>
  <si>
    <t>АС593659</t>
  </si>
  <si>
    <t>ЕМ657777</t>
  </si>
  <si>
    <t>АС031055</t>
  </si>
  <si>
    <t>ВА932872</t>
  </si>
  <si>
    <t>УХ659777</t>
  </si>
  <si>
    <t>АС814255</t>
  </si>
  <si>
    <t>АС065855</t>
  </si>
  <si>
    <t>АС481855</t>
  </si>
  <si>
    <t>У091СВ55</t>
  </si>
  <si>
    <t>Х946МЕ55</t>
  </si>
  <si>
    <t>У918ЕО55</t>
  </si>
  <si>
    <t>К846ХХ159</t>
  </si>
  <si>
    <t>Р004УВ102</t>
  </si>
  <si>
    <t>М988ХЕ777</t>
  </si>
  <si>
    <t>Р919ММ72</t>
  </si>
  <si>
    <t>У333УР55</t>
  </si>
  <si>
    <t>К399ЕМ799</t>
  </si>
  <si>
    <t>К532ЕМ799</t>
  </si>
  <si>
    <t>Т070СА102</t>
  </si>
  <si>
    <t>А709СО702</t>
  </si>
  <si>
    <t>К070МВ102</t>
  </si>
  <si>
    <t>К190РХ86</t>
  </si>
  <si>
    <t>У772КТ55</t>
  </si>
  <si>
    <t>Т957ВС55</t>
  </si>
  <si>
    <t>С125КВ797</t>
  </si>
  <si>
    <t>Тюмень, 6 км. Велижанского тракта</t>
  </si>
  <si>
    <t>Мешков</t>
  </si>
  <si>
    <t>Кизик</t>
  </si>
  <si>
    <t xml:space="preserve">Саган </t>
  </si>
  <si>
    <t>Лышов</t>
  </si>
  <si>
    <t>Югатов А.С.</t>
  </si>
  <si>
    <t xml:space="preserve">Жумабаев </t>
  </si>
  <si>
    <t>Саликов А.А.</t>
  </si>
  <si>
    <t>Глотов П.А.</t>
  </si>
  <si>
    <t>Аргат А.А.</t>
  </si>
  <si>
    <t>ХМАО, г. Нефтеюганск</t>
  </si>
  <si>
    <t>Князев В.Н.</t>
  </si>
  <si>
    <t>Боголюбов Д.Н.</t>
  </si>
  <si>
    <t>Шаня Д.А.</t>
  </si>
  <si>
    <t>Батуев М.А.</t>
  </si>
  <si>
    <t>Мартынов В.И.</t>
  </si>
  <si>
    <t>Руденко Н.А.</t>
  </si>
  <si>
    <t>Иванов И.В.</t>
  </si>
  <si>
    <t>Мухлынин В.А.</t>
  </si>
  <si>
    <t>Мешков Е.Г.</t>
  </si>
  <si>
    <t>Рауш А.А.</t>
  </si>
  <si>
    <t>Саган С.К.</t>
  </si>
  <si>
    <t>Юрьев Ю.В.</t>
  </si>
  <si>
    <t>Лиханов Е.В.</t>
  </si>
  <si>
    <t>Волков Ю.С.</t>
  </si>
  <si>
    <t>Белка О.Н.</t>
  </si>
  <si>
    <t>Горбунов А.А.</t>
  </si>
  <si>
    <t>Ненайдин С.В.</t>
  </si>
  <si>
    <t>Панченко А.А.</t>
  </si>
  <si>
    <t>Прилипко В.В.</t>
  </si>
  <si>
    <t>Афельд А.В.</t>
  </si>
  <si>
    <t>Гордеев К.В.</t>
  </si>
  <si>
    <t>Вольво Х790ЕХ55, ППЦ АТ033955</t>
  </si>
  <si>
    <t>Мерседес Т046ЕМ55, ППЦ АР901255</t>
  </si>
  <si>
    <t>Кенворт Т411ХМ55, ППЦ АТ178355</t>
  </si>
  <si>
    <t>Мерседес У862СВ55, ППЦ АС535155</t>
  </si>
  <si>
    <t>Фредлайнер С693УТ72, ППЦ ВВ610372</t>
  </si>
  <si>
    <t>Вольво О767СТ55, ППЦ АС481855</t>
  </si>
  <si>
    <t>Петербилт О436АК186, ППЦ АТ210155</t>
  </si>
  <si>
    <t>Вольво О001УН55, ППЦ АР990155</t>
  </si>
  <si>
    <t>Даф М001ВН55, ППЦ АС414355</t>
  </si>
  <si>
    <t>Вольво У780КТ55, ППЦ АС759355</t>
  </si>
  <si>
    <t>Мерседес Т049КР55, ППЦ АР900755</t>
  </si>
  <si>
    <t>Ман А946КУ797, ППЦ АТ155855</t>
  </si>
  <si>
    <t>Ман Х540ОУ55, ППЦ АС794155</t>
  </si>
  <si>
    <t>Ивеко Х519ЕМ124, ППЦ АР004955</t>
  </si>
  <si>
    <t>Ивеко У702КО55, ППЦ АС153155</t>
  </si>
  <si>
    <t>Камаз</t>
  </si>
  <si>
    <t>Фредлайнер</t>
  </si>
  <si>
    <t>Петербилт</t>
  </si>
  <si>
    <t>Ивеко</t>
  </si>
  <si>
    <t>АТ245955</t>
  </si>
  <si>
    <t>АС714044</t>
  </si>
  <si>
    <t>АТ033955</t>
  </si>
  <si>
    <t>АР901255</t>
  </si>
  <si>
    <t>АТ019055</t>
  </si>
  <si>
    <t>АТ178355</t>
  </si>
  <si>
    <t>АС535155</t>
  </si>
  <si>
    <t>ВВ610372</t>
  </si>
  <si>
    <t>АТ210155</t>
  </si>
  <si>
    <t>АР990155</t>
  </si>
  <si>
    <t>АС487855</t>
  </si>
  <si>
    <t>АС414355</t>
  </si>
  <si>
    <t>АС759355</t>
  </si>
  <si>
    <t>АР900755</t>
  </si>
  <si>
    <t>АТ155855</t>
  </si>
  <si>
    <t>АС794155</t>
  </si>
  <si>
    <t>АС098355</t>
  </si>
  <si>
    <t>АР004955</t>
  </si>
  <si>
    <t>АС153155</t>
  </si>
  <si>
    <t>К843РН55</t>
  </si>
  <si>
    <t>У977НО55</t>
  </si>
  <si>
    <t>Х790ЕХ55</t>
  </si>
  <si>
    <t>Т046ЕМ55</t>
  </si>
  <si>
    <t>Р080ТС55</t>
  </si>
  <si>
    <t>Т411ХМ55</t>
  </si>
  <si>
    <t>У862СВ55</t>
  </si>
  <si>
    <t>С693УТ72</t>
  </si>
  <si>
    <t>О767СТ55</t>
  </si>
  <si>
    <t>О436АК186</t>
  </si>
  <si>
    <t>О001УН55</t>
  </si>
  <si>
    <t>О500АМ55</t>
  </si>
  <si>
    <t>М001ВН55</t>
  </si>
  <si>
    <t>У780КТ55</t>
  </si>
  <si>
    <t>Т049КР55</t>
  </si>
  <si>
    <t>А946КУ797</t>
  </si>
  <si>
    <t>Х540ОУ55</t>
  </si>
  <si>
    <t>С735УО55</t>
  </si>
  <si>
    <t>Х519ЕМ124</t>
  </si>
  <si>
    <t>У702КО55</t>
  </si>
  <si>
    <t>ДРСУ-1 АО "ТОДЭП"</t>
  </si>
  <si>
    <t>Тюменская область, г. Тюмень, ул. Производственная 28</t>
  </si>
  <si>
    <t>Стуколов Д.Е</t>
  </si>
  <si>
    <t>Логинов Б.Н.</t>
  </si>
  <si>
    <t>Курносов Д.В.</t>
  </si>
  <si>
    <t>Черкашин Е.М.</t>
  </si>
  <si>
    <t>Кизик Р.Л.</t>
  </si>
  <si>
    <t>Евтехов В.А.</t>
  </si>
  <si>
    <t>Каюков С.В.</t>
  </si>
  <si>
    <t>Евстратов О.А.</t>
  </si>
  <si>
    <t>Устюгов С.Ф.</t>
  </si>
  <si>
    <t>Грибанов Р.М.</t>
  </si>
  <si>
    <t>Обравалин А.В.</t>
  </si>
  <si>
    <t>Некрасов А.А.</t>
  </si>
  <si>
    <t>Ляшко А.С.</t>
  </si>
  <si>
    <t>Антонинко А.М.</t>
  </si>
  <si>
    <t>Бондарчук С.Б.</t>
  </si>
  <si>
    <t>Батуев</t>
  </si>
  <si>
    <t>Эдельберг В.А.</t>
  </si>
  <si>
    <t>Боронкин О.А.</t>
  </si>
  <si>
    <t>Некрасов В.В.</t>
  </si>
  <si>
    <t>Ильин С.И.</t>
  </si>
  <si>
    <t>Хабло Д.А.</t>
  </si>
  <si>
    <t>Югатов С.Н.</t>
  </si>
  <si>
    <t>Рубанов Д.С</t>
  </si>
  <si>
    <t>Жикин Д.С.</t>
  </si>
  <si>
    <t>Четверных Ю.В.</t>
  </si>
  <si>
    <t>Хакимов Е.Т.</t>
  </si>
  <si>
    <t>Халимов З.У.</t>
  </si>
  <si>
    <t>Жумабаев С.У.</t>
  </si>
  <si>
    <t>Хасанов А.Н.</t>
  </si>
  <si>
    <t>Вяткин А.Ю.</t>
  </si>
  <si>
    <t>Пасечник Д.А.</t>
  </si>
  <si>
    <t>Волынкин А.Б.</t>
  </si>
  <si>
    <t>Горбань М.А.</t>
  </si>
  <si>
    <t>Поливода Е.В.</t>
  </si>
  <si>
    <t>Саган И.К.</t>
  </si>
  <si>
    <t>Шмидко В.А.</t>
  </si>
  <si>
    <t>Сухачев А.А.</t>
  </si>
  <si>
    <t>Ковальский Н.В.</t>
  </si>
  <si>
    <t>Кудрявцев А.В.</t>
  </si>
  <si>
    <t>Прилипко</t>
  </si>
  <si>
    <t xml:space="preserve">Волков </t>
  </si>
  <si>
    <t>Вольво О500АМ55, ППЦ АС487855</t>
  </si>
  <si>
    <t>Фредлайнер Р080ТС55, АН921955</t>
  </si>
  <si>
    <t>Мерседес С753УО55, ППЦ АС098355</t>
  </si>
  <si>
    <t>Вольво С500РН55, ППЦ АС663355</t>
  </si>
  <si>
    <t xml:space="preserve">Скания Т893ТЕ55, ППЦ </t>
  </si>
  <si>
    <t>Даф О252ХХ22, ППЦ</t>
  </si>
  <si>
    <t>Даф С883СА55, ППЦ АН169164</t>
  </si>
  <si>
    <t>Камаз У466РТ55, ППЦ АТ217755</t>
  </si>
  <si>
    <t>Камаз У818ВТ55, ППЦ АТ217655</t>
  </si>
  <si>
    <t>Ман У122НТ55, ППЦ АС841155</t>
  </si>
  <si>
    <t>Кенворт Х843РН55 ППЦ АТ245955</t>
  </si>
  <si>
    <t>Фредлайнер Х112АТ55, ППЦ</t>
  </si>
  <si>
    <t>Камаз В481МУ89, ППЦ АН010889</t>
  </si>
  <si>
    <t>Ман В271ОВ89, ППЦ АН014989</t>
  </si>
  <si>
    <t>Скания У400ВМ55, ППЦ АС070255</t>
  </si>
  <si>
    <t>Ман М018РК55, ППЦ АТ026155</t>
  </si>
  <si>
    <t>Фрейтлайнер У034ЕН55, ППЦ ВР319477</t>
  </si>
  <si>
    <t>Скания У914ВЕ55, ППЦ АР563455</t>
  </si>
  <si>
    <t>Интернационал У711АС55, ППЦ АС818755</t>
  </si>
  <si>
    <t>Фрейтлайнер С706ЕА55, ППЦ АК529055</t>
  </si>
  <si>
    <t>Ман Н038УО55, ППЦ АС569955</t>
  </si>
  <si>
    <t>Фрейтлайнер У348КТ55, ППЦ АН835255</t>
  </si>
  <si>
    <t>Скания С892НК55, ППЦ АО236955</t>
  </si>
  <si>
    <t>Вольво Н222ХО55, ППЦ АС445686</t>
  </si>
  <si>
    <t>Форд М109ХО34, ППЦ АС880155</t>
  </si>
  <si>
    <t>Вольво У256МС55, ППЦ АТ852555</t>
  </si>
  <si>
    <t>Даф Т909СТ55, ППЦ АС866755</t>
  </si>
  <si>
    <t>Даф О096НМ55, ППЦ АН181055</t>
  </si>
  <si>
    <t>Вольво Х197РТ55, ППЦ АТ198555</t>
  </si>
  <si>
    <t>Скания Т924НК55, ППЦ АР781955</t>
  </si>
  <si>
    <t>Ман А364ЕР155, ППЦ АС788155</t>
  </si>
  <si>
    <t>Камаз А658ЕН155, ППЦ АН030139</t>
  </si>
  <si>
    <t>ДРСУ-2 АО "ТОДЭП"</t>
  </si>
  <si>
    <t>Тюменская область, г. Тюмень, ул. Производственная 21, корп. 1</t>
  </si>
  <si>
    <t>Ганцев</t>
  </si>
  <si>
    <t>Поливода Е.В</t>
  </si>
  <si>
    <t>Бибиков С.Н.</t>
  </si>
  <si>
    <t>Кузеев</t>
  </si>
  <si>
    <t>Иванов</t>
  </si>
  <si>
    <t>Малянов П.В.</t>
  </si>
  <si>
    <t>Афельд</t>
  </si>
  <si>
    <t>Кайзер</t>
  </si>
  <si>
    <t>Вдовин</t>
  </si>
  <si>
    <t>Жумабаев</t>
  </si>
  <si>
    <t>Боронкин</t>
  </si>
  <si>
    <t>Королев Е.И</t>
  </si>
  <si>
    <t>Тарзанов Е.А.</t>
  </si>
  <si>
    <t>Соколов А.В.</t>
  </si>
  <si>
    <t>Морозов</t>
  </si>
  <si>
    <t>Панченко</t>
  </si>
  <si>
    <t>ДРСУ-3 АО "ТОДЭП"</t>
  </si>
  <si>
    <t>г. Ялуторовск</t>
  </si>
  <si>
    <t>Лизунов</t>
  </si>
  <si>
    <t>Лондарь</t>
  </si>
  <si>
    <t>Мильшин</t>
  </si>
  <si>
    <t>Жученко</t>
  </si>
  <si>
    <t>Кроневальд</t>
  </si>
  <si>
    <t>п. Комсомольский Заводоуковский район</t>
  </si>
  <si>
    <t>Ганцев А</t>
  </si>
  <si>
    <t>Боронкин О.А,</t>
  </si>
  <si>
    <t>Соколов А.В,</t>
  </si>
  <si>
    <t>ДРСУ-4 АО "ТОДЭП"</t>
  </si>
  <si>
    <t>Тюменская область, с. Омутинское, ул. Привокзальная 104</t>
  </si>
  <si>
    <t>Тюменская область, с. Голышманово, ул. Гагарина 58А</t>
  </si>
  <si>
    <t>05.03.2022</t>
  </si>
  <si>
    <t>06.03.2022</t>
  </si>
  <si>
    <t>08.03.2022</t>
  </si>
  <si>
    <t>ДРСУ-5 АО "ТОДЭП"</t>
  </si>
  <si>
    <t>г.Ишим, ул. Равнинная</t>
  </si>
  <si>
    <t>Крашенниников Н.С.</t>
  </si>
  <si>
    <t>Сильванович А.Г.</t>
  </si>
  <si>
    <t>Корсуков А.В.</t>
  </si>
  <si>
    <t>Кизик Р.М.</t>
  </si>
  <si>
    <t>Ипатов ЮА.</t>
  </si>
  <si>
    <t>Юдин А.В.</t>
  </si>
  <si>
    <t>Бенслер А.А.</t>
  </si>
  <si>
    <t>Морозов А.А.</t>
  </si>
  <si>
    <t>Вдовин И.А.</t>
  </si>
  <si>
    <t>Перфильев Е.Ю</t>
  </si>
  <si>
    <t>Ефтехов В.А.</t>
  </si>
  <si>
    <t>Фредлайнер С706ЕА55, ППЦ АК529055</t>
  </si>
  <si>
    <t>Фредлайнер У348КТ55, ППЦ АН835255</t>
  </si>
  <si>
    <t>Фредлайнер У034ЕН55, ППЦ АС788155</t>
  </si>
  <si>
    <t>У930КУ797</t>
  </si>
  <si>
    <t>В460ОЕ124</t>
  </si>
  <si>
    <t>У890КО193</t>
  </si>
  <si>
    <t>Т004ТА55</t>
  </si>
  <si>
    <t>Камаз В481МУ89, ППЦ</t>
  </si>
  <si>
    <t>Ман В271ОВ89, ППЦ</t>
  </si>
  <si>
    <t>В481МУ89</t>
  </si>
  <si>
    <t>В271ОВ89</t>
  </si>
  <si>
    <t>С502УВ55</t>
  </si>
  <si>
    <t>Т516РО799</t>
  </si>
  <si>
    <t>К647МХ154</t>
  </si>
  <si>
    <t>Х531ВР55</t>
  </si>
  <si>
    <t>О096НМ55</t>
  </si>
  <si>
    <t>Н712СУ55</t>
  </si>
  <si>
    <t>Х523ОХ55</t>
  </si>
  <si>
    <t>У348КТ55</t>
  </si>
  <si>
    <t>М018РК55</t>
  </si>
  <si>
    <t>Р490РВ55</t>
  </si>
  <si>
    <t>Т493СА124</t>
  </si>
  <si>
    <t>У641ОС55</t>
  </si>
  <si>
    <t>А751РУ799</t>
  </si>
  <si>
    <t>А314СА122</t>
  </si>
  <si>
    <t>С971ТР22</t>
  </si>
  <si>
    <t>Х567ЕА55</t>
  </si>
  <si>
    <t>Т305РО799</t>
  </si>
  <si>
    <t>О242РК799</t>
  </si>
  <si>
    <t>О333УР55</t>
  </si>
  <si>
    <t>Т343ТН55</t>
  </si>
  <si>
    <t>Ман Р446ХЕ55, ППЦ АС760055</t>
  </si>
  <si>
    <t>К636МК154</t>
  </si>
  <si>
    <t>Ивеко У429СН55, ППЦ АН981755</t>
  </si>
  <si>
    <t>Ман В701ХТ89, ППЦ АН148489</t>
  </si>
  <si>
    <t>Ман Т289УР55, ППЦ АТ057055</t>
  </si>
  <si>
    <t>Мерседес С133УО55, ППЦ АТ143155</t>
  </si>
  <si>
    <t>Камаз У818ВТ55, АТ217655</t>
  </si>
  <si>
    <t>ДРСУ-6 АО "ТОДЭП"</t>
  </si>
  <si>
    <t>Тюменская область, г. Тобольск, БСИ-2, квартал 1, стр. 3</t>
  </si>
  <si>
    <t>ДРСУ-7 АО "ТОДЭП"</t>
  </si>
  <si>
    <t>Тюменская область, г. Тюмень, ул. Новаторов 7</t>
  </si>
  <si>
    <t>Омская обл., п. Большеречье</t>
  </si>
  <si>
    <t>Тюм.обл., Ярковский район, д. Чеганово</t>
  </si>
  <si>
    <t>г. Тюмень, ул. Производственная 17/1</t>
  </si>
  <si>
    <t>Четвертных Ю.В.</t>
  </si>
  <si>
    <t>Кремер</t>
  </si>
  <si>
    <t>Рубанов</t>
  </si>
  <si>
    <t>Гордеев</t>
  </si>
  <si>
    <t>Панчекно</t>
  </si>
  <si>
    <t>Кондратенко Н.Н.</t>
  </si>
  <si>
    <t>Дьяков Д.А.</t>
  </si>
  <si>
    <t xml:space="preserve">Антоненко А.М. </t>
  </si>
  <si>
    <t>Рубанов Д.С.</t>
  </si>
  <si>
    <t>Головченко В.В.</t>
  </si>
  <si>
    <t>Копылов Е.С.</t>
  </si>
  <si>
    <t>Каримов А.А.</t>
  </si>
  <si>
    <t>Мирхайдаров Р.Х.</t>
  </si>
  <si>
    <t>Хранение</t>
  </si>
  <si>
    <t>Даф У312АР55, ППЦ АС005055</t>
  </si>
  <si>
    <t>Даф Р856СР55, ППЦ АС011455</t>
  </si>
  <si>
    <t>Вольво Х427РА55, ППЦ АТ198555</t>
  </si>
  <si>
    <t>Кенворт Е222КЕ55, ППЦ АТ210255</t>
  </si>
  <si>
    <t>Скания Н001ВО55, ППЦ АС789655</t>
  </si>
  <si>
    <t>Петербилт В088СК154, ППЦ АР497055</t>
  </si>
  <si>
    <t>Кенворт Т127ХТ55, ППЦ АС841155</t>
  </si>
  <si>
    <t>Даф Н547АТ102, ППЦ ВЕ058563</t>
  </si>
  <si>
    <t>Рено А406ОС702, ППЦ ВК405602</t>
  </si>
  <si>
    <t>Ненайден С.В.</t>
  </si>
  <si>
    <t>Кремер С.В.</t>
  </si>
  <si>
    <t>Шенгерей</t>
  </si>
  <si>
    <t>С706ЕА55, ППЦ АН835255</t>
  </si>
  <si>
    <t>Н038УО55, ППЦ АС569955</t>
  </si>
  <si>
    <t>С133УО55, ППЦ АТ143155</t>
  </si>
  <si>
    <t>Т289УР55</t>
  </si>
  <si>
    <t>Х843РН55</t>
  </si>
  <si>
    <t>г. Сургут, ул. Инженерная 11</t>
  </si>
  <si>
    <t>г. Сургут, ул. Инженерная 12</t>
  </si>
  <si>
    <t>г. Сургут, ул. Инженерная 13</t>
  </si>
  <si>
    <t>Липецкая обл., Липецкий район, д. Копцевы Хутора</t>
  </si>
  <si>
    <t>Липецкая обл., Усманский район, с. Стрелецкие Хутора, ул. Железнодорожная 88</t>
  </si>
  <si>
    <t>Липецкая обл., Елецкий район, г. Елец, Орловское шоссе</t>
  </si>
  <si>
    <t>с МНПЗ</t>
  </si>
  <si>
    <t>г. Тюмень, ул. Еловая 12</t>
  </si>
  <si>
    <t>Носивец В.А.</t>
  </si>
  <si>
    <t>Дидик С.Ю.</t>
  </si>
  <si>
    <t>Ожогин В.А.</t>
  </si>
  <si>
    <t>Даф К470ЕМ799, ППЦ ЕМ309877</t>
  </si>
  <si>
    <t>Даф К377ЕМ799, ППЦ ЕМ310077</t>
  </si>
  <si>
    <t>Ман Т054ВМ797, ППЦ УУ297477</t>
  </si>
  <si>
    <t>на хранение у жуля</t>
  </si>
  <si>
    <t>Тюм.обл., ХМАО, г. Сургут, ул. Индустриальная 27</t>
  </si>
  <si>
    <t>Ковальский И.В.</t>
  </si>
  <si>
    <t>Старшинов С.Н.</t>
  </si>
  <si>
    <t>Кенворт У891ВХ55, ППЦ АС065355</t>
  </si>
  <si>
    <t>Ивеко В560СО98, ППЦ АР241255</t>
  </si>
  <si>
    <t>Кенворт Н222КЕ55, АТ210255</t>
  </si>
  <si>
    <t>Вольво Т545УС55, ППЦ ВА653052</t>
  </si>
  <si>
    <t>Петербилт О436АК55</t>
  </si>
  <si>
    <t>Тюменская обл., г. Тобольск, БСИ-2 , квартал 3, участок 5 а</t>
  </si>
  <si>
    <t>Жикин</t>
  </si>
  <si>
    <t>Саликов</t>
  </si>
  <si>
    <t>Мухлышин В.А.</t>
  </si>
  <si>
    <t>Фредлайнер С693УТ72</t>
  </si>
  <si>
    <t>Челябинская область, г.Копейск, п.Вахрушево</t>
  </si>
  <si>
    <t>Лушов Ю.В.</t>
  </si>
  <si>
    <t>Мирошниченко С.П.</t>
  </si>
  <si>
    <t>Шингерей Я.В.</t>
  </si>
  <si>
    <t>Скания С010АК55, ППЦ АС146655</t>
  </si>
  <si>
    <t>Скания Т893ТЕ55, ППЦ АР874055</t>
  </si>
  <si>
    <t>Вольво О333УР55, ППЦ АС031055</t>
  </si>
  <si>
    <t>Маз У867ХТ55, ППЦ АС772355</t>
  </si>
  <si>
    <t>МанА364ЕР155, ППЦ АС788155</t>
  </si>
  <si>
    <t>Волво С441ХЕ55, ППЦ АР782355</t>
  </si>
  <si>
    <t>Ман М018РК55, ППЦАТ026155</t>
  </si>
  <si>
    <t>Ман Х511ХХ55, ППЦ АР779055</t>
  </si>
  <si>
    <t>client_id</t>
  </si>
  <si>
    <t>delivery_address</t>
  </si>
  <si>
    <t>trader_id</t>
  </si>
  <si>
    <t>shipment_date</t>
  </si>
  <si>
    <t>trader_price</t>
  </si>
  <si>
    <t>type_of_delivery</t>
  </si>
  <si>
    <t>Доставка</t>
  </si>
  <si>
    <t>delivery_name</t>
  </si>
  <si>
    <t>delivery_price</t>
  </si>
  <si>
    <t>tonnage_sum</t>
  </si>
  <si>
    <t>driver_fio</t>
  </si>
  <si>
    <t>car_state_number</t>
  </si>
  <si>
    <t>car_mark</t>
  </si>
  <si>
    <t>trailer_name</t>
  </si>
  <si>
    <t>sales_price</t>
  </si>
  <si>
    <t>comment</t>
  </si>
  <si>
    <t>unloading_tone</t>
  </si>
  <si>
    <t>status</t>
  </si>
  <si>
    <t>Архив</t>
  </si>
  <si>
    <t>price</t>
  </si>
  <si>
    <t>total_price</t>
  </si>
  <si>
    <t>sales_revenue</t>
  </si>
  <si>
    <t>our_organization_id</t>
  </si>
  <si>
    <t>extra_price</t>
  </si>
  <si>
    <t>loading_tone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</si>
</sst>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6">
    <xf numFmtId="0" fontId="0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0">
    <xf numFmtId="0" fontId="0" fillId="0" borderId="0" xfId="0"/>
    <xf numFmtId="4" fontId="5" fillId="2" borderId="1" xfId="3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2" fillId="2" borderId="1" xfId="1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2" fillId="2" borderId="1" xfId="1" applyFont="1" applyFill="1" applyBorder="1" applyAlignment="1">
      <alignment horizontal="left" wrapText="1"/>
    </xf>
    <xf numFmtId="0" fontId="0" fillId="2" borderId="1" xfId="0" applyFill="1" applyBorder="1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164" fontId="5" fillId="2" borderId="1" xfId="3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2" borderId="0" xfId="0" applyFill="1"/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0" borderId="1" xfId="1" applyFont="1" applyFill="1" applyBorder="1" applyAlignment="1">
      <alignment horizontal="center"/>
    </xf>
    <xf numFmtId="0" fontId="5" fillId="0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0" borderId="1" xfId="1" applyFont="1" applyFill="1" applyBorder="1" applyAlignment="1">
      <alignment horizontal="center"/>
    </xf>
    <xf numFmtId="0" fontId="5" fillId="0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3" xfId="0" applyFill="1" applyBorder="1"/>
    <xf numFmtId="0" fontId="7" fillId="0" borderId="0" xfId="0" applyFont="1"/>
    <xf numFmtId="0" fontId="2" fillId="4" borderId="1" xfId="0" applyFont="1" applyFill="1" applyBorder="1" applyAlignment="1">
      <alignment horizontal="left"/>
    </xf>
  </cellXfs>
  <cellStyles count="66">
    <cellStyle name="Обычный" xfId="0" builtinId="0"/>
    <cellStyle name="Обычный 2" xfId="2"/>
    <cellStyle name="Обычный 2 2" xfId="6"/>
    <cellStyle name="Обычный 2 2 2" xfId="9"/>
    <cellStyle name="Обычный 2 2 2 2" xfId="18"/>
    <cellStyle name="Обычный 2 2 2 2 2" xfId="30"/>
    <cellStyle name="Обычный 2 2 2 2 3" xfId="41"/>
    <cellStyle name="Обычный 2 2 2 3" xfId="24"/>
    <cellStyle name="Обычный 2 2 2 3 2" xfId="47"/>
    <cellStyle name="Обычный 2 2 2 4" xfId="55"/>
    <cellStyle name="Обычный 2 2 2 5" xfId="63"/>
    <cellStyle name="Обычный 2 2 2 6" xfId="35"/>
    <cellStyle name="Обычный 2 2 3" xfId="11"/>
    <cellStyle name="Обычный 2 2 3 2" xfId="26"/>
    <cellStyle name="Обычный 2 2 3 2 2" xfId="49"/>
    <cellStyle name="Обычный 2 2 3 3" xfId="57"/>
    <cellStyle name="Обычный 2 2 3 4" xfId="65"/>
    <cellStyle name="Обычный 2 2 3 5" xfId="37"/>
    <cellStyle name="Обычный 2 2 4" xfId="15"/>
    <cellStyle name="Обычный 2 2 4 2" xfId="28"/>
    <cellStyle name="Обычный 2 2 4 2 2" xfId="45"/>
    <cellStyle name="Обычный 2 2 4 3" xfId="53"/>
    <cellStyle name="Обычный 2 2 4 4" xfId="61"/>
    <cellStyle name="Обычный 2 2 4 5" xfId="39"/>
    <cellStyle name="Обычный 2 2 5" xfId="22"/>
    <cellStyle name="Обычный 2 2 5 2" xfId="43"/>
    <cellStyle name="Обычный 2 2 6" xfId="51"/>
    <cellStyle name="Обычный 2 2 7" xfId="59"/>
    <cellStyle name="Обычный 2 2 8" xfId="33"/>
    <cellStyle name="Обычный 2 3" xfId="7"/>
    <cellStyle name="Обычный 2 3 2" xfId="12"/>
    <cellStyle name="Обычный 2 3 3" xfId="16"/>
    <cellStyle name="Обычный 2 3 3 2" xfId="29"/>
    <cellStyle name="Обычный 2 3 3 2 2" xfId="46"/>
    <cellStyle name="Обычный 2 3 3 3" xfId="54"/>
    <cellStyle name="Обычный 2 3 3 4" xfId="62"/>
    <cellStyle name="Обычный 2 3 3 5" xfId="40"/>
    <cellStyle name="Обычный 2 3 4" xfId="23"/>
    <cellStyle name="Обычный 2 3 5" xfId="34"/>
    <cellStyle name="Обычный 2 4" xfId="10"/>
    <cellStyle name="Обычный 2 4 2" xfId="25"/>
    <cellStyle name="Обычный 2 4 2 2" xfId="48"/>
    <cellStyle name="Обычный 2 4 3" xfId="56"/>
    <cellStyle name="Обычный 2 4 4" xfId="64"/>
    <cellStyle name="Обычный 2 4 5" xfId="36"/>
    <cellStyle name="Обычный 2 5" xfId="14"/>
    <cellStyle name="Обычный 2 5 2" xfId="27"/>
    <cellStyle name="Обычный 2 5 2 2" xfId="44"/>
    <cellStyle name="Обычный 2 5 3" xfId="52"/>
    <cellStyle name="Обычный 2 5 4" xfId="60"/>
    <cellStyle name="Обычный 2 5 5" xfId="38"/>
    <cellStyle name="Обычный 2 6" xfId="4"/>
    <cellStyle name="Обычный 2 6 2" xfId="21"/>
    <cellStyle name="Обычный 2 6 3" xfId="42"/>
    <cellStyle name="Обычный 2 7" xfId="19"/>
    <cellStyle name="Обычный 2 7 2" xfId="31"/>
    <cellStyle name="Обычный 2 7 3" xfId="50"/>
    <cellStyle name="Обычный 2 8" xfId="20"/>
    <cellStyle name="Обычный 2 8 2" xfId="58"/>
    <cellStyle name="Обычный 2 9" xfId="32"/>
    <cellStyle name="Обычный 3" xfId="3"/>
    <cellStyle name="Обычный 4" xfId="5"/>
    <cellStyle name="Обычный 5" xfId="8"/>
    <cellStyle name="Обычный 5 2" xfId="13"/>
    <cellStyle name="Обычный 5 3" xfId="17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8"/>
  <sheetViews>
    <sheetView tabSelected="1" workbookViewId="0">
      <selection activeCell="D28" sqref="D28"/>
    </sheetView>
  </sheetViews>
  <sheetFormatPr defaultRowHeight="15" x14ac:dyDescent="0.25"/>
  <cols>
    <col min="1" max="1" width="19.85546875" customWidth="1"/>
    <col min="2" max="2" width="28.5703125" bestFit="1" customWidth="1"/>
    <col min="3" max="3" width="78.28515625" style="2" bestFit="1" customWidth="1"/>
    <col min="4" max="4" width="21.42578125" customWidth="1"/>
    <col min="5" max="5" width="18.7109375" style="70" customWidth="1"/>
    <col min="6" max="6" width="20.140625" style="70" customWidth="1"/>
    <col min="7" max="7" width="20.28515625" style="9" bestFit="1" customWidth="1"/>
    <col min="8" max="8" width="30.140625" bestFit="1" customWidth="1"/>
    <col min="9" max="9" width="19.5703125" bestFit="1" customWidth="1"/>
    <col min="10" max="10" width="16.42578125" customWidth="1"/>
    <col min="11" max="11" width="21.5703125" customWidth="1"/>
    <col min="12" max="12" width="39.42578125" bestFit="1" customWidth="1"/>
    <col min="13" max="13" width="18.7109375" customWidth="1"/>
    <col min="14" max="14" width="19" customWidth="1"/>
    <col min="15" max="15" width="19.5703125" bestFit="1" customWidth="1"/>
    <col min="16" max="16" width="25.85546875" customWidth="1"/>
    <col min="17" max="17" width="19.5703125" bestFit="1" customWidth="1"/>
    <col min="18" max="18" width="18.7109375" customWidth="1"/>
    <col min="21" max="21" width="13.140625" customWidth="1"/>
    <col min="22" max="22" width="16.28515625" customWidth="1"/>
    <col min="23" max="23" width="14.140625" customWidth="1"/>
  </cols>
  <sheetData>
    <row r="1" spans="1:23" x14ac:dyDescent="0.25">
      <c r="A1" s="11" t="s">
        <v>437</v>
      </c>
      <c r="B1" s="11" t="s">
        <v>415</v>
      </c>
      <c r="C1" s="215" t="s">
        <v>416</v>
      </c>
      <c r="D1" s="11" t="s">
        <v>417</v>
      </c>
      <c r="E1" s="24" t="s">
        <v>418</v>
      </c>
      <c r="F1" s="24" t="s">
        <v>419</v>
      </c>
      <c r="G1" s="219" t="s">
        <v>420</v>
      </c>
      <c r="H1" s="11" t="s">
        <v>422</v>
      </c>
      <c r="I1" s="11" t="s">
        <v>423</v>
      </c>
      <c r="J1" s="12" t="s">
        <v>424</v>
      </c>
      <c r="K1" s="11" t="s">
        <v>425</v>
      </c>
      <c r="L1" s="11" t="s">
        <v>426</v>
      </c>
      <c r="M1" s="11" t="s">
        <v>427</v>
      </c>
      <c r="N1" s="11" t="s">
        <v>428</v>
      </c>
      <c r="O1" s="11" t="s">
        <v>429</v>
      </c>
      <c r="P1" s="11" t="s">
        <v>430</v>
      </c>
      <c r="Q1" s="11" t="s">
        <v>439</v>
      </c>
      <c r="R1" s="11" t="s">
        <v>431</v>
      </c>
      <c r="S1" s="217" t="s">
        <v>432</v>
      </c>
      <c r="T1" s="217" t="s">
        <v>434</v>
      </c>
      <c r="U1" s="217" t="s">
        <v>438</v>
      </c>
      <c r="V1" s="218" t="s">
        <v>435</v>
      </c>
      <c r="W1" s="218" t="s">
        <v>436</v>
      </c>
    </row>
    <row r="2" spans="1:23" x14ac:dyDescent="0.25">
      <c r="A2" s="41">
        <v>8602260410</v>
      </c>
      <c r="B2" s="13">
        <v>7203257029</v>
      </c>
      <c r="C2" s="126" t="s">
        <v>0</v>
      </c>
      <c r="D2" s="5">
        <v>6234000600</v>
      </c>
      <c r="E2" s="156">
        <v>44592</v>
      </c>
      <c r="F2" s="155">
        <v>26700</v>
      </c>
      <c r="G2" s="214" t="s">
        <v>421</v>
      </c>
      <c r="H2" s="14">
        <v>5503182532</v>
      </c>
      <c r="I2" s="15">
        <v>1500</v>
      </c>
      <c r="J2" s="16">
        <v>26.12</v>
      </c>
      <c r="K2" s="3" t="s">
        <v>2</v>
      </c>
      <c r="L2" s="3" t="s">
        <v>82</v>
      </c>
      <c r="M2" s="18" t="s">
        <v>46</v>
      </c>
      <c r="N2" s="18" t="s">
        <v>52</v>
      </c>
      <c r="O2" s="7">
        <v>30600</v>
      </c>
      <c r="P2" s="6"/>
      <c r="Q2" s="20">
        <v>26.12</v>
      </c>
      <c r="R2" s="20">
        <v>26.12</v>
      </c>
      <c r="S2" t="s">
        <v>433</v>
      </c>
      <c r="T2">
        <f>(I2+F2)*J2</f>
        <v>736584</v>
      </c>
      <c r="U2">
        <f>O2-(F2+I2)</f>
        <v>2400</v>
      </c>
      <c r="V2">
        <f>O2*J2</f>
        <v>799272</v>
      </c>
      <c r="W2">
        <f>V2-T2</f>
        <v>62688</v>
      </c>
    </row>
    <row r="3" spans="1:23" x14ac:dyDescent="0.25">
      <c r="A3" s="204">
        <v>8602260410</v>
      </c>
      <c r="B3" s="13">
        <v>7203257029</v>
      </c>
      <c r="C3" s="126" t="s">
        <v>0</v>
      </c>
      <c r="D3" s="5">
        <v>6234000600</v>
      </c>
      <c r="E3" s="156">
        <v>44592</v>
      </c>
      <c r="F3" s="155">
        <v>26700</v>
      </c>
      <c r="G3" s="214" t="s">
        <v>421</v>
      </c>
      <c r="H3" s="14">
        <v>5501208190</v>
      </c>
      <c r="I3" s="15">
        <v>1500</v>
      </c>
      <c r="J3" s="16">
        <v>26.86</v>
      </c>
      <c r="K3" s="3" t="s">
        <v>3</v>
      </c>
      <c r="L3" s="3" t="s">
        <v>83</v>
      </c>
      <c r="M3" s="18" t="s">
        <v>47</v>
      </c>
      <c r="N3" s="18" t="s">
        <v>53</v>
      </c>
      <c r="O3" s="7">
        <v>30600</v>
      </c>
      <c r="P3" s="6"/>
      <c r="Q3" s="20">
        <v>26.86</v>
      </c>
      <c r="R3" s="20">
        <v>26.86</v>
      </c>
      <c r="S3" t="s">
        <v>433</v>
      </c>
      <c r="T3">
        <f t="shared" ref="T3:T66" si="0">(I3+F3)*J3</f>
        <v>757452</v>
      </c>
      <c r="U3">
        <f t="shared" ref="U3:U66" si="1">O3-(F3+I3)</f>
        <v>2400</v>
      </c>
      <c r="V3">
        <f t="shared" ref="V3:V66" si="2">O3*J3</f>
        <v>821916</v>
      </c>
      <c r="W3">
        <f t="shared" ref="W3:W66" si="3">V3-T3</f>
        <v>64464</v>
      </c>
    </row>
    <row r="4" spans="1:23" x14ac:dyDescent="0.25">
      <c r="A4" s="204">
        <v>8602260410</v>
      </c>
      <c r="B4" s="204">
        <v>7203257029</v>
      </c>
      <c r="C4" s="126" t="s">
        <v>0</v>
      </c>
      <c r="D4" s="5">
        <v>6234000600</v>
      </c>
      <c r="E4" s="156">
        <v>44592</v>
      </c>
      <c r="F4" s="155">
        <v>28435</v>
      </c>
      <c r="G4" s="214" t="s">
        <v>1</v>
      </c>
      <c r="H4" s="6"/>
      <c r="I4" s="15">
        <v>0</v>
      </c>
      <c r="J4" s="16">
        <v>26.9</v>
      </c>
      <c r="K4" s="3" t="s">
        <v>4</v>
      </c>
      <c r="L4" s="3" t="s">
        <v>80</v>
      </c>
      <c r="M4" s="5" t="s">
        <v>48</v>
      </c>
      <c r="N4" s="5" t="s">
        <v>54</v>
      </c>
      <c r="O4" s="7">
        <v>30600</v>
      </c>
      <c r="P4" s="6"/>
      <c r="Q4" s="20">
        <v>26.9</v>
      </c>
      <c r="R4" s="20">
        <v>26.9</v>
      </c>
      <c r="S4" t="s">
        <v>433</v>
      </c>
      <c r="T4">
        <f t="shared" si="0"/>
        <v>764901.5</v>
      </c>
      <c r="U4">
        <f t="shared" si="1"/>
        <v>2165</v>
      </c>
      <c r="V4">
        <f t="shared" si="2"/>
        <v>823140</v>
      </c>
      <c r="W4">
        <f t="shared" si="3"/>
        <v>58238.5</v>
      </c>
    </row>
    <row r="5" spans="1:23" x14ac:dyDescent="0.25">
      <c r="A5" s="204">
        <v>8602260410</v>
      </c>
      <c r="B5" s="204">
        <v>7203257029</v>
      </c>
      <c r="C5" s="126" t="s">
        <v>0</v>
      </c>
      <c r="D5" s="5">
        <v>6234000600</v>
      </c>
      <c r="E5" s="156">
        <v>44593</v>
      </c>
      <c r="F5" s="155">
        <v>26700</v>
      </c>
      <c r="G5" s="214" t="s">
        <v>421</v>
      </c>
      <c r="H5" s="204">
        <v>5501208190</v>
      </c>
      <c r="I5" s="15">
        <v>1500</v>
      </c>
      <c r="J5" s="16">
        <v>26.6</v>
      </c>
      <c r="K5" s="3" t="s">
        <v>5</v>
      </c>
      <c r="L5" s="3" t="s">
        <v>84</v>
      </c>
      <c r="M5" s="18" t="s">
        <v>49</v>
      </c>
      <c r="N5" s="18" t="s">
        <v>55</v>
      </c>
      <c r="O5" s="7">
        <v>30600</v>
      </c>
      <c r="P5" s="6"/>
      <c r="Q5" s="20">
        <v>26.6</v>
      </c>
      <c r="R5" s="20">
        <v>26.6</v>
      </c>
      <c r="S5" t="s">
        <v>433</v>
      </c>
      <c r="T5">
        <f t="shared" si="0"/>
        <v>750120</v>
      </c>
      <c r="U5">
        <f t="shared" si="1"/>
        <v>2400</v>
      </c>
      <c r="V5">
        <f t="shared" si="2"/>
        <v>813960</v>
      </c>
      <c r="W5">
        <f t="shared" si="3"/>
        <v>63840</v>
      </c>
    </row>
    <row r="6" spans="1:23" x14ac:dyDescent="0.25">
      <c r="A6" s="204">
        <v>8602260410</v>
      </c>
      <c r="B6" s="204">
        <v>7203257029</v>
      </c>
      <c r="C6" s="126" t="s">
        <v>0</v>
      </c>
      <c r="D6" s="5">
        <v>6234000600</v>
      </c>
      <c r="E6" s="156">
        <v>44593</v>
      </c>
      <c r="F6" s="155">
        <v>26700</v>
      </c>
      <c r="G6" s="214" t="s">
        <v>421</v>
      </c>
      <c r="H6" s="204">
        <v>5501208190</v>
      </c>
      <c r="I6" s="15">
        <v>1500</v>
      </c>
      <c r="J6" s="16">
        <v>26.84</v>
      </c>
      <c r="K6" s="3" t="s">
        <v>3</v>
      </c>
      <c r="L6" s="3" t="s">
        <v>83</v>
      </c>
      <c r="M6" s="18" t="s">
        <v>47</v>
      </c>
      <c r="N6" s="18" t="s">
        <v>53</v>
      </c>
      <c r="O6" s="7">
        <v>30600</v>
      </c>
      <c r="P6" s="6"/>
      <c r="Q6" s="20">
        <v>26.84</v>
      </c>
      <c r="R6" s="20">
        <v>26.84</v>
      </c>
      <c r="S6" t="s">
        <v>433</v>
      </c>
      <c r="T6">
        <f t="shared" si="0"/>
        <v>756888</v>
      </c>
      <c r="U6">
        <f t="shared" si="1"/>
        <v>2400</v>
      </c>
      <c r="V6">
        <f t="shared" si="2"/>
        <v>821304</v>
      </c>
      <c r="W6">
        <f t="shared" si="3"/>
        <v>64416</v>
      </c>
    </row>
    <row r="7" spans="1:23" x14ac:dyDescent="0.25">
      <c r="A7" s="204">
        <v>8602260410</v>
      </c>
      <c r="B7" s="204">
        <v>7203257029</v>
      </c>
      <c r="C7" s="126" t="s">
        <v>0</v>
      </c>
      <c r="D7" s="5">
        <v>6234000600</v>
      </c>
      <c r="E7" s="156">
        <v>44593</v>
      </c>
      <c r="F7" s="155">
        <v>26700</v>
      </c>
      <c r="G7" s="214" t="s">
        <v>421</v>
      </c>
      <c r="H7" s="14">
        <v>5501132737</v>
      </c>
      <c r="I7" s="15">
        <v>1600</v>
      </c>
      <c r="J7" s="16">
        <v>25.9</v>
      </c>
      <c r="K7" s="3" t="s">
        <v>6</v>
      </c>
      <c r="L7" s="3" t="s">
        <v>85</v>
      </c>
      <c r="M7" s="18" t="s">
        <v>50</v>
      </c>
      <c r="N7" s="18" t="s">
        <v>56</v>
      </c>
      <c r="O7" s="7">
        <v>30600</v>
      </c>
      <c r="P7" s="6"/>
      <c r="Q7" s="20">
        <v>25.9</v>
      </c>
      <c r="R7" s="20">
        <v>25.9</v>
      </c>
      <c r="S7" t="s">
        <v>433</v>
      </c>
      <c r="T7">
        <f t="shared" si="0"/>
        <v>732970</v>
      </c>
      <c r="U7">
        <f t="shared" si="1"/>
        <v>2300</v>
      </c>
      <c r="V7">
        <f t="shared" si="2"/>
        <v>792540</v>
      </c>
      <c r="W7">
        <f t="shared" si="3"/>
        <v>59570</v>
      </c>
    </row>
    <row r="8" spans="1:23" x14ac:dyDescent="0.25">
      <c r="A8" s="204">
        <v>8602260410</v>
      </c>
      <c r="B8" s="204">
        <v>7203257029</v>
      </c>
      <c r="C8" s="126" t="s">
        <v>0</v>
      </c>
      <c r="D8" s="5">
        <v>6234000600</v>
      </c>
      <c r="E8" s="156">
        <v>44593</v>
      </c>
      <c r="F8" s="155">
        <v>28435</v>
      </c>
      <c r="G8" s="214" t="s">
        <v>1</v>
      </c>
      <c r="H8" s="6"/>
      <c r="I8" s="15">
        <v>0</v>
      </c>
      <c r="J8" s="16">
        <v>26.9</v>
      </c>
      <c r="K8" s="3" t="s">
        <v>4</v>
      </c>
      <c r="L8" s="3" t="s">
        <v>80</v>
      </c>
      <c r="M8" s="18" t="s">
        <v>48</v>
      </c>
      <c r="N8" s="18" t="s">
        <v>54</v>
      </c>
      <c r="O8" s="7">
        <v>30600</v>
      </c>
      <c r="P8" s="6"/>
      <c r="Q8" s="20">
        <v>26.9</v>
      </c>
      <c r="R8" s="20">
        <v>26.9</v>
      </c>
      <c r="S8" t="s">
        <v>433</v>
      </c>
      <c r="T8">
        <f t="shared" si="0"/>
        <v>764901.5</v>
      </c>
      <c r="U8">
        <f t="shared" si="1"/>
        <v>2165</v>
      </c>
      <c r="V8">
        <f t="shared" si="2"/>
        <v>823140</v>
      </c>
      <c r="W8">
        <f t="shared" si="3"/>
        <v>58238.5</v>
      </c>
    </row>
    <row r="9" spans="1:23" x14ac:dyDescent="0.25">
      <c r="A9" s="204">
        <v>8602260410</v>
      </c>
      <c r="B9" s="204">
        <v>7203257029</v>
      </c>
      <c r="C9" s="126" t="s">
        <v>0</v>
      </c>
      <c r="D9" s="5">
        <v>6234000600</v>
      </c>
      <c r="E9" s="156">
        <v>44593</v>
      </c>
      <c r="F9" s="155">
        <v>28435</v>
      </c>
      <c r="G9" s="214" t="s">
        <v>1</v>
      </c>
      <c r="H9" s="6"/>
      <c r="I9" s="15">
        <v>0</v>
      </c>
      <c r="J9" s="16">
        <v>23.44</v>
      </c>
      <c r="K9" s="3" t="s">
        <v>7</v>
      </c>
      <c r="L9" s="3" t="s">
        <v>78</v>
      </c>
      <c r="M9" s="18" t="s">
        <v>48</v>
      </c>
      <c r="N9" s="18" t="s">
        <v>57</v>
      </c>
      <c r="O9" s="7">
        <v>30600</v>
      </c>
      <c r="P9" s="6"/>
      <c r="Q9" s="20">
        <v>23.44</v>
      </c>
      <c r="R9" s="20">
        <v>23.44</v>
      </c>
      <c r="S9" t="s">
        <v>433</v>
      </c>
      <c r="T9">
        <f t="shared" si="0"/>
        <v>666516.4</v>
      </c>
      <c r="U9">
        <f t="shared" si="1"/>
        <v>2165</v>
      </c>
      <c r="V9">
        <f t="shared" si="2"/>
        <v>717264</v>
      </c>
      <c r="W9">
        <f t="shared" si="3"/>
        <v>50747.599999999977</v>
      </c>
    </row>
    <row r="10" spans="1:23" x14ac:dyDescent="0.25">
      <c r="A10" s="204">
        <v>8602260410</v>
      </c>
      <c r="B10" s="204">
        <v>7203257029</v>
      </c>
      <c r="C10" s="126" t="s">
        <v>0</v>
      </c>
      <c r="D10" s="5">
        <v>6234000600</v>
      </c>
      <c r="E10" s="156">
        <v>44593</v>
      </c>
      <c r="F10" s="155">
        <v>28435</v>
      </c>
      <c r="G10" s="214" t="s">
        <v>1</v>
      </c>
      <c r="H10" s="6"/>
      <c r="I10" s="15">
        <v>0</v>
      </c>
      <c r="J10" s="16">
        <v>26.08</v>
      </c>
      <c r="K10" s="3" t="s">
        <v>8</v>
      </c>
      <c r="L10" s="3" t="s">
        <v>81</v>
      </c>
      <c r="M10" s="18" t="s">
        <v>47</v>
      </c>
      <c r="N10" s="18" t="s">
        <v>58</v>
      </c>
      <c r="O10" s="7">
        <v>30600</v>
      </c>
      <c r="P10" s="6"/>
      <c r="Q10" s="20">
        <v>26.08</v>
      </c>
      <c r="R10" s="20">
        <v>26.08</v>
      </c>
      <c r="S10" t="s">
        <v>433</v>
      </c>
      <c r="T10">
        <f t="shared" si="0"/>
        <v>741584.79999999993</v>
      </c>
      <c r="U10">
        <f t="shared" si="1"/>
        <v>2165</v>
      </c>
      <c r="V10">
        <f t="shared" si="2"/>
        <v>798048</v>
      </c>
      <c r="W10">
        <f t="shared" si="3"/>
        <v>56463.20000000007</v>
      </c>
    </row>
    <row r="11" spans="1:23" x14ac:dyDescent="0.25">
      <c r="A11" s="204">
        <v>8602260410</v>
      </c>
      <c r="B11" s="204">
        <v>7203257029</v>
      </c>
      <c r="C11" s="126" t="s">
        <v>0</v>
      </c>
      <c r="D11" s="5">
        <v>6234000600</v>
      </c>
      <c r="E11" s="156">
        <v>44593</v>
      </c>
      <c r="F11" s="155">
        <v>28435</v>
      </c>
      <c r="G11" s="214" t="s">
        <v>1</v>
      </c>
      <c r="H11" s="6"/>
      <c r="I11" s="15">
        <v>0</v>
      </c>
      <c r="J11" s="16">
        <v>22.76</v>
      </c>
      <c r="K11" s="3" t="s">
        <v>9</v>
      </c>
      <c r="L11" s="3" t="s">
        <v>79</v>
      </c>
      <c r="M11" s="18" t="s">
        <v>47</v>
      </c>
      <c r="N11" s="18" t="s">
        <v>59</v>
      </c>
      <c r="O11" s="7">
        <v>30600</v>
      </c>
      <c r="P11" s="6"/>
      <c r="Q11" s="20">
        <v>22.76</v>
      </c>
      <c r="R11" s="20">
        <v>22.76</v>
      </c>
      <c r="S11" t="s">
        <v>433</v>
      </c>
      <c r="T11">
        <f t="shared" si="0"/>
        <v>647180.60000000009</v>
      </c>
      <c r="U11">
        <f t="shared" si="1"/>
        <v>2165</v>
      </c>
      <c r="V11">
        <f t="shared" si="2"/>
        <v>696456</v>
      </c>
      <c r="W11">
        <f t="shared" si="3"/>
        <v>49275.399999999907</v>
      </c>
    </row>
    <row r="12" spans="1:23" x14ac:dyDescent="0.25">
      <c r="A12" s="204">
        <v>8602260410</v>
      </c>
      <c r="B12" s="204">
        <v>7203257029</v>
      </c>
      <c r="C12" s="126" t="s">
        <v>0</v>
      </c>
      <c r="D12" s="5">
        <v>6234000600</v>
      </c>
      <c r="E12" s="156">
        <v>44594</v>
      </c>
      <c r="F12" s="155">
        <v>28435</v>
      </c>
      <c r="G12" s="214" t="s">
        <v>1</v>
      </c>
      <c r="H12" s="6"/>
      <c r="I12" s="15">
        <v>0</v>
      </c>
      <c r="J12" s="16">
        <v>24.54</v>
      </c>
      <c r="K12" s="3" t="s">
        <v>10</v>
      </c>
      <c r="L12" s="3" t="s">
        <v>73</v>
      </c>
      <c r="M12" s="18" t="s">
        <v>48</v>
      </c>
      <c r="N12" s="18" t="s">
        <v>60</v>
      </c>
      <c r="O12" s="7">
        <v>30600</v>
      </c>
      <c r="P12" s="6"/>
      <c r="Q12" s="20">
        <v>24.54</v>
      </c>
      <c r="R12" s="20">
        <v>24.54</v>
      </c>
      <c r="S12" t="s">
        <v>433</v>
      </c>
      <c r="T12">
        <f t="shared" si="0"/>
        <v>697794.9</v>
      </c>
      <c r="U12">
        <f t="shared" si="1"/>
        <v>2165</v>
      </c>
      <c r="V12">
        <f t="shared" si="2"/>
        <v>750924</v>
      </c>
      <c r="W12">
        <f t="shared" si="3"/>
        <v>53129.099999999977</v>
      </c>
    </row>
    <row r="13" spans="1:23" x14ac:dyDescent="0.25">
      <c r="A13" s="204">
        <v>8602260410</v>
      </c>
      <c r="B13" s="204">
        <v>7203257029</v>
      </c>
      <c r="C13" s="126" t="s">
        <v>0</v>
      </c>
      <c r="D13" s="5">
        <v>6234000600</v>
      </c>
      <c r="E13" s="156">
        <v>44595</v>
      </c>
      <c r="F13" s="155">
        <v>28435</v>
      </c>
      <c r="G13" s="214" t="s">
        <v>1</v>
      </c>
      <c r="H13" s="6"/>
      <c r="I13" s="15">
        <v>0</v>
      </c>
      <c r="J13" s="16">
        <v>26.94</v>
      </c>
      <c r="K13" s="3" t="s">
        <v>4</v>
      </c>
      <c r="L13" s="3" t="s">
        <v>80</v>
      </c>
      <c r="M13" s="18" t="s">
        <v>48</v>
      </c>
      <c r="N13" s="18" t="s">
        <v>54</v>
      </c>
      <c r="O13" s="7">
        <v>30600</v>
      </c>
      <c r="P13" s="6"/>
      <c r="Q13" s="20">
        <v>26.94</v>
      </c>
      <c r="R13" s="20">
        <v>26.94</v>
      </c>
      <c r="S13" t="s">
        <v>433</v>
      </c>
      <c r="T13">
        <f t="shared" si="0"/>
        <v>766038.9</v>
      </c>
      <c r="U13">
        <f t="shared" si="1"/>
        <v>2165</v>
      </c>
      <c r="V13">
        <f t="shared" si="2"/>
        <v>824364</v>
      </c>
      <c r="W13">
        <f t="shared" si="3"/>
        <v>58325.099999999977</v>
      </c>
    </row>
    <row r="14" spans="1:23" x14ac:dyDescent="0.25">
      <c r="A14" s="204">
        <v>8602260410</v>
      </c>
      <c r="B14" s="204">
        <v>7203257029</v>
      </c>
      <c r="C14" s="126" t="s">
        <v>0</v>
      </c>
      <c r="D14" s="5">
        <v>6234000600</v>
      </c>
      <c r="E14" s="156">
        <v>44595</v>
      </c>
      <c r="F14" s="155">
        <v>28435</v>
      </c>
      <c r="G14" s="214" t="s">
        <v>1</v>
      </c>
      <c r="H14" s="6"/>
      <c r="I14" s="15">
        <v>0</v>
      </c>
      <c r="J14" s="16">
        <v>23.54</v>
      </c>
      <c r="K14" s="3" t="s">
        <v>11</v>
      </c>
      <c r="L14" s="3" t="s">
        <v>72</v>
      </c>
      <c r="M14" s="18" t="s">
        <v>50</v>
      </c>
      <c r="N14" s="18" t="s">
        <v>61</v>
      </c>
      <c r="O14" s="7">
        <v>30600</v>
      </c>
      <c r="P14" s="6"/>
      <c r="Q14" s="20">
        <v>23.54</v>
      </c>
      <c r="R14" s="20">
        <v>23.54</v>
      </c>
      <c r="S14" t="s">
        <v>433</v>
      </c>
      <c r="T14">
        <f t="shared" si="0"/>
        <v>669359.9</v>
      </c>
      <c r="U14">
        <f t="shared" si="1"/>
        <v>2165</v>
      </c>
      <c r="V14">
        <f t="shared" si="2"/>
        <v>720324</v>
      </c>
      <c r="W14">
        <f t="shared" si="3"/>
        <v>50964.099999999977</v>
      </c>
    </row>
    <row r="15" spans="1:23" x14ac:dyDescent="0.25">
      <c r="A15" s="204">
        <v>8602260410</v>
      </c>
      <c r="B15" s="204">
        <v>7203257029</v>
      </c>
      <c r="C15" s="126" t="s">
        <v>0</v>
      </c>
      <c r="D15" s="5">
        <v>6234000600</v>
      </c>
      <c r="E15" s="156">
        <v>44595</v>
      </c>
      <c r="F15" s="155">
        <v>28435</v>
      </c>
      <c r="G15" s="214" t="s">
        <v>1</v>
      </c>
      <c r="H15" s="6"/>
      <c r="I15" s="15">
        <v>0</v>
      </c>
      <c r="J15" s="16">
        <v>24.58</v>
      </c>
      <c r="K15" s="3" t="s">
        <v>10</v>
      </c>
      <c r="L15" s="3" t="s">
        <v>73</v>
      </c>
      <c r="M15" s="18" t="s">
        <v>48</v>
      </c>
      <c r="N15" s="18" t="s">
        <v>60</v>
      </c>
      <c r="O15" s="7">
        <v>30600</v>
      </c>
      <c r="P15" s="6"/>
      <c r="Q15" s="20">
        <v>24.58</v>
      </c>
      <c r="R15" s="20">
        <v>24.58</v>
      </c>
      <c r="S15" t="s">
        <v>433</v>
      </c>
      <c r="T15">
        <f t="shared" si="0"/>
        <v>698932.29999999993</v>
      </c>
      <c r="U15">
        <f t="shared" si="1"/>
        <v>2165</v>
      </c>
      <c r="V15">
        <f t="shared" si="2"/>
        <v>752148</v>
      </c>
      <c r="W15">
        <f t="shared" si="3"/>
        <v>53215.70000000007</v>
      </c>
    </row>
    <row r="16" spans="1:23" x14ac:dyDescent="0.25">
      <c r="A16" s="204">
        <v>8602260410</v>
      </c>
      <c r="B16" s="204">
        <v>7203257029</v>
      </c>
      <c r="C16" s="126" t="s">
        <v>0</v>
      </c>
      <c r="D16" s="5">
        <v>6234000600</v>
      </c>
      <c r="E16" s="156">
        <v>44595</v>
      </c>
      <c r="F16" s="155">
        <v>28435</v>
      </c>
      <c r="G16" s="214" t="s">
        <v>1</v>
      </c>
      <c r="H16" s="6"/>
      <c r="I16" s="15">
        <v>0</v>
      </c>
      <c r="J16" s="16">
        <v>22.74</v>
      </c>
      <c r="K16" s="3" t="s">
        <v>9</v>
      </c>
      <c r="L16" s="3" t="s">
        <v>79</v>
      </c>
      <c r="M16" s="18" t="s">
        <v>47</v>
      </c>
      <c r="N16" s="18" t="s">
        <v>59</v>
      </c>
      <c r="O16" s="7">
        <v>30600</v>
      </c>
      <c r="P16" s="6"/>
      <c r="Q16" s="20">
        <v>22.74</v>
      </c>
      <c r="R16" s="20">
        <v>22.74</v>
      </c>
      <c r="S16" t="s">
        <v>433</v>
      </c>
      <c r="T16">
        <f t="shared" si="0"/>
        <v>646611.89999999991</v>
      </c>
      <c r="U16">
        <f t="shared" si="1"/>
        <v>2165</v>
      </c>
      <c r="V16">
        <f t="shared" si="2"/>
        <v>695844</v>
      </c>
      <c r="W16">
        <f t="shared" si="3"/>
        <v>49232.100000000093</v>
      </c>
    </row>
    <row r="17" spans="1:23" x14ac:dyDescent="0.25">
      <c r="A17" s="204">
        <v>8602260410</v>
      </c>
      <c r="B17" s="204">
        <v>7203257029</v>
      </c>
      <c r="C17" s="126" t="s">
        <v>0</v>
      </c>
      <c r="D17" s="5">
        <v>6234000600</v>
      </c>
      <c r="E17" s="156">
        <v>44595</v>
      </c>
      <c r="F17" s="155">
        <v>28435</v>
      </c>
      <c r="G17" s="214" t="s">
        <v>1</v>
      </c>
      <c r="H17" s="6"/>
      <c r="I17" s="15">
        <v>0</v>
      </c>
      <c r="J17" s="16">
        <v>23.52</v>
      </c>
      <c r="K17" s="3" t="s">
        <v>7</v>
      </c>
      <c r="L17" s="3" t="s">
        <v>78</v>
      </c>
      <c r="M17" s="18" t="s">
        <v>48</v>
      </c>
      <c r="N17" s="18" t="s">
        <v>57</v>
      </c>
      <c r="O17" s="7">
        <v>30600</v>
      </c>
      <c r="P17" s="6"/>
      <c r="Q17" s="20">
        <v>23.52</v>
      </c>
      <c r="R17" s="20">
        <v>23.52</v>
      </c>
      <c r="S17" t="s">
        <v>433</v>
      </c>
      <c r="T17">
        <f t="shared" si="0"/>
        <v>668791.19999999995</v>
      </c>
      <c r="U17">
        <f t="shared" si="1"/>
        <v>2165</v>
      </c>
      <c r="V17">
        <f t="shared" si="2"/>
        <v>719712</v>
      </c>
      <c r="W17">
        <f t="shared" si="3"/>
        <v>50920.800000000047</v>
      </c>
    </row>
    <row r="18" spans="1:23" x14ac:dyDescent="0.25">
      <c r="A18" s="204">
        <v>8602260410</v>
      </c>
      <c r="B18" s="204">
        <v>7203257029</v>
      </c>
      <c r="C18" s="126" t="s">
        <v>0</v>
      </c>
      <c r="D18" s="5">
        <v>6234000600</v>
      </c>
      <c r="E18" s="156">
        <v>44596</v>
      </c>
      <c r="F18" s="155">
        <v>28435</v>
      </c>
      <c r="G18" s="214" t="s">
        <v>1</v>
      </c>
      <c r="H18" s="6"/>
      <c r="I18" s="15">
        <v>0</v>
      </c>
      <c r="J18" s="16">
        <v>26.52</v>
      </c>
      <c r="K18" s="3" t="s">
        <v>12</v>
      </c>
      <c r="L18" s="3" t="s">
        <v>77</v>
      </c>
      <c r="M18" s="18" t="s">
        <v>48</v>
      </c>
      <c r="N18" s="18" t="s">
        <v>62</v>
      </c>
      <c r="O18" s="7">
        <v>30600</v>
      </c>
      <c r="P18" s="6"/>
      <c r="Q18" s="20">
        <v>26.52</v>
      </c>
      <c r="R18" s="20">
        <v>26.52</v>
      </c>
      <c r="S18" t="s">
        <v>433</v>
      </c>
      <c r="T18">
        <f t="shared" si="0"/>
        <v>754096.2</v>
      </c>
      <c r="U18">
        <f t="shared" si="1"/>
        <v>2165</v>
      </c>
      <c r="V18">
        <f t="shared" si="2"/>
        <v>811512</v>
      </c>
      <c r="W18">
        <f t="shared" si="3"/>
        <v>57415.800000000047</v>
      </c>
    </row>
    <row r="19" spans="1:23" x14ac:dyDescent="0.25">
      <c r="A19" s="204">
        <v>8602260410</v>
      </c>
      <c r="B19" s="204">
        <v>7203257029</v>
      </c>
      <c r="C19" s="214" t="s">
        <v>0</v>
      </c>
      <c r="D19" s="5">
        <v>6234000600</v>
      </c>
      <c r="E19" s="156">
        <v>44596</v>
      </c>
      <c r="F19" s="155">
        <v>28435</v>
      </c>
      <c r="G19" s="214" t="s">
        <v>1</v>
      </c>
      <c r="H19" s="6"/>
      <c r="I19" s="15">
        <v>0</v>
      </c>
      <c r="J19" s="16">
        <v>26.32</v>
      </c>
      <c r="K19" s="3" t="s">
        <v>13</v>
      </c>
      <c r="L19" s="3" t="s">
        <v>76</v>
      </c>
      <c r="M19" s="18" t="s">
        <v>47</v>
      </c>
      <c r="N19" s="18" t="s">
        <v>63</v>
      </c>
      <c r="O19" s="7">
        <v>30600</v>
      </c>
      <c r="P19" s="6"/>
      <c r="Q19" s="20">
        <v>26.32</v>
      </c>
      <c r="R19" s="20">
        <v>26.32</v>
      </c>
      <c r="S19" t="s">
        <v>433</v>
      </c>
      <c r="T19">
        <f t="shared" si="0"/>
        <v>748409.2</v>
      </c>
      <c r="U19">
        <f t="shared" si="1"/>
        <v>2165</v>
      </c>
      <c r="V19">
        <f t="shared" si="2"/>
        <v>805392</v>
      </c>
      <c r="W19">
        <f t="shared" si="3"/>
        <v>56982.800000000047</v>
      </c>
    </row>
    <row r="20" spans="1:23" x14ac:dyDescent="0.25">
      <c r="A20" s="204">
        <v>8602260410</v>
      </c>
      <c r="B20" s="204">
        <v>7203257029</v>
      </c>
      <c r="C20" s="126" t="s">
        <v>0</v>
      </c>
      <c r="D20" s="5">
        <v>6234000600</v>
      </c>
      <c r="E20" s="156">
        <v>44596</v>
      </c>
      <c r="F20" s="155">
        <v>28435</v>
      </c>
      <c r="G20" s="214" t="s">
        <v>1</v>
      </c>
      <c r="H20" s="6"/>
      <c r="I20" s="15">
        <v>0</v>
      </c>
      <c r="J20" s="16">
        <v>26.72</v>
      </c>
      <c r="K20" s="3" t="s">
        <v>14</v>
      </c>
      <c r="L20" s="3" t="s">
        <v>75</v>
      </c>
      <c r="M20" s="18" t="s">
        <v>47</v>
      </c>
      <c r="N20" s="18" t="s">
        <v>64</v>
      </c>
      <c r="O20" s="7">
        <v>30600</v>
      </c>
      <c r="P20" s="6"/>
      <c r="Q20" s="20">
        <v>26.72</v>
      </c>
      <c r="R20" s="20">
        <v>26.72</v>
      </c>
      <c r="S20" t="s">
        <v>433</v>
      </c>
      <c r="T20">
        <f t="shared" si="0"/>
        <v>759783.2</v>
      </c>
      <c r="U20">
        <f t="shared" si="1"/>
        <v>2165</v>
      </c>
      <c r="V20">
        <f t="shared" si="2"/>
        <v>817632</v>
      </c>
      <c r="W20">
        <f t="shared" si="3"/>
        <v>57848.800000000047</v>
      </c>
    </row>
    <row r="21" spans="1:23" x14ac:dyDescent="0.25">
      <c r="A21" s="204">
        <v>8602260410</v>
      </c>
      <c r="B21" s="204">
        <v>7203257029</v>
      </c>
      <c r="C21" s="126" t="s">
        <v>0</v>
      </c>
      <c r="D21" s="5">
        <v>6234000600</v>
      </c>
      <c r="E21" s="156">
        <v>44596</v>
      </c>
      <c r="F21" s="155">
        <v>28435</v>
      </c>
      <c r="G21" s="214" t="s">
        <v>1</v>
      </c>
      <c r="H21" s="6"/>
      <c r="I21" s="15">
        <v>0</v>
      </c>
      <c r="J21" s="16">
        <v>23.56</v>
      </c>
      <c r="K21" s="3" t="s">
        <v>15</v>
      </c>
      <c r="L21" s="3" t="s">
        <v>74</v>
      </c>
      <c r="M21" s="18" t="s">
        <v>50</v>
      </c>
      <c r="N21" s="18" t="s">
        <v>65</v>
      </c>
      <c r="O21" s="7">
        <v>30600</v>
      </c>
      <c r="P21" s="6"/>
      <c r="Q21" s="20">
        <v>23.56</v>
      </c>
      <c r="R21" s="20">
        <v>23.56</v>
      </c>
      <c r="S21" t="s">
        <v>433</v>
      </c>
      <c r="T21">
        <f t="shared" si="0"/>
        <v>669928.6</v>
      </c>
      <c r="U21">
        <f t="shared" si="1"/>
        <v>2165</v>
      </c>
      <c r="V21">
        <f t="shared" si="2"/>
        <v>720936</v>
      </c>
      <c r="W21">
        <f t="shared" si="3"/>
        <v>51007.400000000023</v>
      </c>
    </row>
    <row r="22" spans="1:23" x14ac:dyDescent="0.25">
      <c r="A22" s="204">
        <v>8602260410</v>
      </c>
      <c r="B22" s="204">
        <v>7203257029</v>
      </c>
      <c r="C22" s="126" t="s">
        <v>0</v>
      </c>
      <c r="D22" s="5">
        <v>6234000600</v>
      </c>
      <c r="E22" s="156">
        <v>44596</v>
      </c>
      <c r="F22" s="155">
        <v>28435</v>
      </c>
      <c r="G22" s="214" t="s">
        <v>1</v>
      </c>
      <c r="H22" s="6"/>
      <c r="I22" s="15">
        <v>0</v>
      </c>
      <c r="J22" s="16">
        <v>24</v>
      </c>
      <c r="K22" s="3" t="s">
        <v>11</v>
      </c>
      <c r="L22" s="3" t="s">
        <v>72</v>
      </c>
      <c r="M22" s="18" t="s">
        <v>50</v>
      </c>
      <c r="N22" s="18" t="s">
        <v>61</v>
      </c>
      <c r="O22" s="7">
        <v>30600</v>
      </c>
      <c r="P22" s="6"/>
      <c r="Q22" s="20">
        <v>24</v>
      </c>
      <c r="R22" s="20">
        <v>24</v>
      </c>
      <c r="S22" t="s">
        <v>433</v>
      </c>
      <c r="T22">
        <f t="shared" si="0"/>
        <v>682440</v>
      </c>
      <c r="U22">
        <f t="shared" si="1"/>
        <v>2165</v>
      </c>
      <c r="V22">
        <f t="shared" si="2"/>
        <v>734400</v>
      </c>
      <c r="W22">
        <f t="shared" si="3"/>
        <v>51960</v>
      </c>
    </row>
    <row r="23" spans="1:23" x14ac:dyDescent="0.25">
      <c r="A23" s="204">
        <v>8602260410</v>
      </c>
      <c r="B23" s="204">
        <v>7203257029</v>
      </c>
      <c r="C23" s="126" t="s">
        <v>0</v>
      </c>
      <c r="D23" s="5">
        <v>6234000600</v>
      </c>
      <c r="E23" s="156">
        <v>44597</v>
      </c>
      <c r="F23" s="155">
        <v>28435</v>
      </c>
      <c r="G23" s="214" t="s">
        <v>1</v>
      </c>
      <c r="H23" s="6"/>
      <c r="I23" s="15">
        <v>0</v>
      </c>
      <c r="J23" s="16">
        <v>24.54</v>
      </c>
      <c r="K23" s="3" t="s">
        <v>10</v>
      </c>
      <c r="L23" s="3" t="s">
        <v>73</v>
      </c>
      <c r="M23" s="18" t="s">
        <v>48</v>
      </c>
      <c r="N23" s="18" t="s">
        <v>60</v>
      </c>
      <c r="O23" s="7">
        <v>30600</v>
      </c>
      <c r="P23" s="6"/>
      <c r="Q23" s="20">
        <v>24.54</v>
      </c>
      <c r="R23" s="20">
        <v>24.54</v>
      </c>
      <c r="S23" t="s">
        <v>433</v>
      </c>
      <c r="T23">
        <f t="shared" si="0"/>
        <v>697794.9</v>
      </c>
      <c r="U23">
        <f t="shared" si="1"/>
        <v>2165</v>
      </c>
      <c r="V23">
        <f t="shared" si="2"/>
        <v>750924</v>
      </c>
      <c r="W23">
        <f t="shared" si="3"/>
        <v>53129.099999999977</v>
      </c>
    </row>
    <row r="24" spans="1:23" x14ac:dyDescent="0.25">
      <c r="A24" s="204">
        <v>8602260410</v>
      </c>
      <c r="B24" s="204">
        <v>7203257029</v>
      </c>
      <c r="C24" s="126" t="s">
        <v>0</v>
      </c>
      <c r="D24" s="5">
        <v>6234000600</v>
      </c>
      <c r="E24" s="156">
        <v>44597</v>
      </c>
      <c r="F24" s="155">
        <v>28435</v>
      </c>
      <c r="G24" s="214" t="s">
        <v>1</v>
      </c>
      <c r="H24" s="6"/>
      <c r="I24" s="15">
        <v>0</v>
      </c>
      <c r="J24" s="16">
        <v>24.02</v>
      </c>
      <c r="K24" s="3" t="s">
        <v>11</v>
      </c>
      <c r="L24" s="3" t="s">
        <v>72</v>
      </c>
      <c r="M24" s="18" t="s">
        <v>50</v>
      </c>
      <c r="N24" s="18" t="s">
        <v>61</v>
      </c>
      <c r="O24" s="7">
        <v>30600</v>
      </c>
      <c r="P24" s="6"/>
      <c r="Q24" s="20">
        <v>24.02</v>
      </c>
      <c r="R24" s="20">
        <v>24.02</v>
      </c>
      <c r="S24" t="s">
        <v>433</v>
      </c>
      <c r="T24">
        <f t="shared" si="0"/>
        <v>683008.7</v>
      </c>
      <c r="U24">
        <f t="shared" si="1"/>
        <v>2165</v>
      </c>
      <c r="V24">
        <f t="shared" si="2"/>
        <v>735012</v>
      </c>
      <c r="W24">
        <f t="shared" si="3"/>
        <v>52003.300000000047</v>
      </c>
    </row>
    <row r="25" spans="1:23" x14ac:dyDescent="0.25">
      <c r="A25" s="204">
        <v>8602260410</v>
      </c>
      <c r="B25" s="204">
        <v>7203257029</v>
      </c>
      <c r="C25" s="126" t="s">
        <v>0</v>
      </c>
      <c r="D25" s="5">
        <v>6234000600</v>
      </c>
      <c r="E25" s="156">
        <v>44600</v>
      </c>
      <c r="F25" s="155">
        <v>28435</v>
      </c>
      <c r="G25" s="214" t="s">
        <v>1</v>
      </c>
      <c r="H25" s="6"/>
      <c r="I25" s="15">
        <v>0</v>
      </c>
      <c r="J25" s="16">
        <v>26.9</v>
      </c>
      <c r="K25" s="3"/>
      <c r="L25" s="8" t="s">
        <v>26</v>
      </c>
      <c r="M25" s="5"/>
      <c r="N25" s="5"/>
      <c r="O25" s="7">
        <v>30600</v>
      </c>
      <c r="P25" s="6"/>
      <c r="Q25" s="20">
        <v>26.9</v>
      </c>
      <c r="R25" s="20">
        <v>26.9</v>
      </c>
      <c r="S25" t="s">
        <v>433</v>
      </c>
      <c r="T25">
        <f t="shared" si="0"/>
        <v>764901.5</v>
      </c>
      <c r="U25">
        <f t="shared" si="1"/>
        <v>2165</v>
      </c>
      <c r="V25">
        <f t="shared" si="2"/>
        <v>823140</v>
      </c>
      <c r="W25">
        <f t="shared" si="3"/>
        <v>58238.5</v>
      </c>
    </row>
    <row r="26" spans="1:23" x14ac:dyDescent="0.25">
      <c r="A26" s="204">
        <v>8602260410</v>
      </c>
      <c r="B26" s="204">
        <v>7203257029</v>
      </c>
      <c r="C26" s="126" t="s">
        <v>0</v>
      </c>
      <c r="D26" s="5">
        <v>6234000600</v>
      </c>
      <c r="E26" s="156">
        <v>44600</v>
      </c>
      <c r="F26" s="155">
        <v>28435</v>
      </c>
      <c r="G26" s="214" t="s">
        <v>1</v>
      </c>
      <c r="H26" s="6"/>
      <c r="I26" s="15">
        <v>0</v>
      </c>
      <c r="J26" s="16">
        <v>24.1</v>
      </c>
      <c r="K26" s="3"/>
      <c r="L26" s="8" t="s">
        <v>27</v>
      </c>
      <c r="M26" s="5"/>
      <c r="N26" s="5"/>
      <c r="O26" s="7">
        <v>30600</v>
      </c>
      <c r="P26" s="6"/>
      <c r="Q26" s="20">
        <v>24.1</v>
      </c>
      <c r="R26" s="20">
        <v>24.1</v>
      </c>
      <c r="S26" t="s">
        <v>433</v>
      </c>
      <c r="T26">
        <f t="shared" si="0"/>
        <v>685283.5</v>
      </c>
      <c r="U26">
        <f t="shared" si="1"/>
        <v>2165</v>
      </c>
      <c r="V26">
        <f t="shared" si="2"/>
        <v>737460</v>
      </c>
      <c r="W26">
        <f t="shared" si="3"/>
        <v>52176.5</v>
      </c>
    </row>
    <row r="27" spans="1:23" x14ac:dyDescent="0.25">
      <c r="A27" s="204">
        <v>8602260410</v>
      </c>
      <c r="B27" s="204">
        <v>7203257029</v>
      </c>
      <c r="C27" s="126" t="s">
        <v>0</v>
      </c>
      <c r="D27" s="5">
        <v>6234000600</v>
      </c>
      <c r="E27" s="156">
        <v>44600</v>
      </c>
      <c r="F27" s="155">
        <v>28435</v>
      </c>
      <c r="G27" s="214" t="s">
        <v>1</v>
      </c>
      <c r="H27" s="6"/>
      <c r="I27" s="15">
        <v>0</v>
      </c>
      <c r="J27" s="16">
        <v>22.8</v>
      </c>
      <c r="K27" s="3"/>
      <c r="L27" s="8" t="s">
        <v>28</v>
      </c>
      <c r="M27" s="5"/>
      <c r="N27" s="5"/>
      <c r="O27" s="7">
        <v>30600</v>
      </c>
      <c r="P27" s="6"/>
      <c r="Q27" s="20">
        <v>22.8</v>
      </c>
      <c r="R27" s="20">
        <v>22.8</v>
      </c>
      <c r="S27" t="s">
        <v>433</v>
      </c>
      <c r="T27">
        <f t="shared" si="0"/>
        <v>648318</v>
      </c>
      <c r="U27">
        <f t="shared" si="1"/>
        <v>2165</v>
      </c>
      <c r="V27">
        <f t="shared" si="2"/>
        <v>697680</v>
      </c>
      <c r="W27">
        <f t="shared" si="3"/>
        <v>49362</v>
      </c>
    </row>
    <row r="28" spans="1:23" x14ac:dyDescent="0.25">
      <c r="A28" s="204">
        <v>8602260410</v>
      </c>
      <c r="B28" s="204">
        <v>7203257029</v>
      </c>
      <c r="C28" s="126" t="s">
        <v>0</v>
      </c>
      <c r="D28" s="5">
        <v>6234000600</v>
      </c>
      <c r="E28" s="156">
        <v>44602</v>
      </c>
      <c r="F28" s="155">
        <v>28435</v>
      </c>
      <c r="G28" s="214" t="s">
        <v>1</v>
      </c>
      <c r="H28" s="6"/>
      <c r="I28" s="15">
        <v>0</v>
      </c>
      <c r="J28" s="16">
        <v>26.78</v>
      </c>
      <c r="K28" s="3"/>
      <c r="L28" s="3" t="s">
        <v>29</v>
      </c>
      <c r="M28" s="5"/>
      <c r="N28" s="5"/>
      <c r="O28" s="7">
        <v>30600</v>
      </c>
      <c r="P28" s="6"/>
      <c r="Q28" s="20">
        <v>26.78</v>
      </c>
      <c r="R28" s="20">
        <v>26.78</v>
      </c>
      <c r="S28" t="s">
        <v>433</v>
      </c>
      <c r="T28">
        <f t="shared" si="0"/>
        <v>761489.3</v>
      </c>
      <c r="U28">
        <f t="shared" si="1"/>
        <v>2165</v>
      </c>
      <c r="V28">
        <f t="shared" si="2"/>
        <v>819468</v>
      </c>
      <c r="W28">
        <f t="shared" si="3"/>
        <v>57978.699999999953</v>
      </c>
    </row>
    <row r="29" spans="1:23" x14ac:dyDescent="0.25">
      <c r="A29" s="204">
        <v>8602260410</v>
      </c>
      <c r="B29" s="204">
        <v>7203257029</v>
      </c>
      <c r="C29" s="126" t="s">
        <v>0</v>
      </c>
      <c r="D29" s="5">
        <v>6234000600</v>
      </c>
      <c r="E29" s="156">
        <v>44602</v>
      </c>
      <c r="F29" s="155">
        <v>28435</v>
      </c>
      <c r="G29" s="214" t="s">
        <v>1</v>
      </c>
      <c r="H29" s="6"/>
      <c r="I29" s="15">
        <v>0</v>
      </c>
      <c r="J29" s="16">
        <v>24.4</v>
      </c>
      <c r="K29" s="3"/>
      <c r="L29" s="3" t="s">
        <v>30</v>
      </c>
      <c r="M29" s="5"/>
      <c r="N29" s="5"/>
      <c r="O29" s="7">
        <v>30600</v>
      </c>
      <c r="P29" s="6"/>
      <c r="Q29" s="20">
        <v>24.4</v>
      </c>
      <c r="R29" s="20">
        <v>24.4</v>
      </c>
      <c r="S29" t="s">
        <v>433</v>
      </c>
      <c r="T29">
        <f t="shared" si="0"/>
        <v>693814</v>
      </c>
      <c r="U29">
        <f t="shared" si="1"/>
        <v>2165</v>
      </c>
      <c r="V29">
        <f t="shared" si="2"/>
        <v>746640</v>
      </c>
      <c r="W29">
        <f t="shared" si="3"/>
        <v>52826</v>
      </c>
    </row>
    <row r="30" spans="1:23" x14ac:dyDescent="0.25">
      <c r="A30" s="204">
        <v>8602260410</v>
      </c>
      <c r="B30" s="204">
        <v>7203257029</v>
      </c>
      <c r="C30" s="126" t="s">
        <v>0</v>
      </c>
      <c r="D30" s="5">
        <v>6234000600</v>
      </c>
      <c r="E30" s="156">
        <v>44602</v>
      </c>
      <c r="F30" s="155">
        <v>28435</v>
      </c>
      <c r="G30" s="214" t="s">
        <v>1</v>
      </c>
      <c r="H30" s="6"/>
      <c r="I30" s="15">
        <v>0</v>
      </c>
      <c r="J30" s="16">
        <v>25.98</v>
      </c>
      <c r="K30" s="3"/>
      <c r="L30" s="3" t="s">
        <v>31</v>
      </c>
      <c r="M30" s="5"/>
      <c r="N30" s="5"/>
      <c r="O30" s="7">
        <v>30600</v>
      </c>
      <c r="P30" s="6"/>
      <c r="Q30" s="20">
        <v>25.98</v>
      </c>
      <c r="R30" s="20">
        <v>25.98</v>
      </c>
      <c r="S30" t="s">
        <v>433</v>
      </c>
      <c r="T30">
        <f t="shared" si="0"/>
        <v>738741.3</v>
      </c>
      <c r="U30">
        <f t="shared" si="1"/>
        <v>2165</v>
      </c>
      <c r="V30">
        <f t="shared" si="2"/>
        <v>794988</v>
      </c>
      <c r="W30">
        <f t="shared" si="3"/>
        <v>56246.699999999953</v>
      </c>
    </row>
    <row r="31" spans="1:23" x14ac:dyDescent="0.25">
      <c r="A31" s="204">
        <v>8602260410</v>
      </c>
      <c r="B31" s="204">
        <v>7203257029</v>
      </c>
      <c r="C31" s="126" t="s">
        <v>0</v>
      </c>
      <c r="D31" s="5">
        <v>6234000600</v>
      </c>
      <c r="E31" s="156">
        <v>44603</v>
      </c>
      <c r="F31" s="155">
        <v>28435</v>
      </c>
      <c r="G31" s="214" t="s">
        <v>1</v>
      </c>
      <c r="H31" s="6"/>
      <c r="I31" s="15">
        <v>0</v>
      </c>
      <c r="J31" s="16">
        <v>26.54</v>
      </c>
      <c r="K31" s="3"/>
      <c r="L31" s="3" t="s">
        <v>32</v>
      </c>
      <c r="M31" s="5"/>
      <c r="N31" s="5"/>
      <c r="O31" s="7">
        <v>30600</v>
      </c>
      <c r="P31" s="6"/>
      <c r="Q31" s="20">
        <v>26.54</v>
      </c>
      <c r="R31" s="20">
        <v>26.54</v>
      </c>
      <c r="S31" t="s">
        <v>433</v>
      </c>
      <c r="T31">
        <f t="shared" si="0"/>
        <v>754664.9</v>
      </c>
      <c r="U31">
        <f t="shared" si="1"/>
        <v>2165</v>
      </c>
      <c r="V31">
        <f t="shared" si="2"/>
        <v>812124</v>
      </c>
      <c r="W31">
        <f t="shared" si="3"/>
        <v>57459.099999999977</v>
      </c>
    </row>
    <row r="32" spans="1:23" x14ac:dyDescent="0.25">
      <c r="A32" s="204">
        <v>8602260410</v>
      </c>
      <c r="B32" s="204">
        <v>7203257029</v>
      </c>
      <c r="C32" s="126" t="s">
        <v>0</v>
      </c>
      <c r="D32" s="5">
        <v>6234000600</v>
      </c>
      <c r="E32" s="156">
        <v>44603</v>
      </c>
      <c r="F32" s="155">
        <v>28435</v>
      </c>
      <c r="G32" s="214" t="s">
        <v>1</v>
      </c>
      <c r="H32" s="6"/>
      <c r="I32" s="15">
        <v>0</v>
      </c>
      <c r="J32" s="16">
        <v>22.5</v>
      </c>
      <c r="K32" s="3"/>
      <c r="L32" s="3" t="s">
        <v>33</v>
      </c>
      <c r="M32" s="5"/>
      <c r="N32" s="5"/>
      <c r="O32" s="7">
        <v>30600</v>
      </c>
      <c r="P32" s="6"/>
      <c r="Q32" s="20">
        <v>22.5</v>
      </c>
      <c r="R32" s="20">
        <v>22.5</v>
      </c>
      <c r="S32" t="s">
        <v>433</v>
      </c>
      <c r="T32">
        <f t="shared" si="0"/>
        <v>639787.5</v>
      </c>
      <c r="U32">
        <f t="shared" si="1"/>
        <v>2165</v>
      </c>
      <c r="V32">
        <f t="shared" si="2"/>
        <v>688500</v>
      </c>
      <c r="W32">
        <f t="shared" si="3"/>
        <v>48712.5</v>
      </c>
    </row>
    <row r="33" spans="1:23" x14ac:dyDescent="0.25">
      <c r="A33" s="204">
        <v>8602260410</v>
      </c>
      <c r="B33" s="204">
        <v>7203257029</v>
      </c>
      <c r="C33" s="126" t="s">
        <v>0</v>
      </c>
      <c r="D33" s="5">
        <v>6234000600</v>
      </c>
      <c r="E33" s="156">
        <v>44603</v>
      </c>
      <c r="F33" s="155">
        <v>28435</v>
      </c>
      <c r="G33" s="214" t="s">
        <v>1</v>
      </c>
      <c r="H33" s="6"/>
      <c r="I33" s="15">
        <v>0</v>
      </c>
      <c r="J33" s="16">
        <v>26.98</v>
      </c>
      <c r="K33" s="3"/>
      <c r="L33" s="3" t="s">
        <v>26</v>
      </c>
      <c r="M33" s="5"/>
      <c r="N33" s="5"/>
      <c r="O33" s="7">
        <v>30600</v>
      </c>
      <c r="P33" s="6"/>
      <c r="Q33" s="20">
        <v>26.98</v>
      </c>
      <c r="R33" s="20">
        <v>26.98</v>
      </c>
      <c r="S33" t="s">
        <v>433</v>
      </c>
      <c r="T33">
        <f t="shared" si="0"/>
        <v>767176.3</v>
      </c>
      <c r="U33">
        <f t="shared" si="1"/>
        <v>2165</v>
      </c>
      <c r="V33">
        <f t="shared" si="2"/>
        <v>825588</v>
      </c>
      <c r="W33">
        <f t="shared" si="3"/>
        <v>58411.699999999953</v>
      </c>
    </row>
    <row r="34" spans="1:23" x14ac:dyDescent="0.25">
      <c r="A34" s="204">
        <v>8602260410</v>
      </c>
      <c r="B34" s="204">
        <v>7203257029</v>
      </c>
      <c r="C34" s="126" t="s">
        <v>0</v>
      </c>
      <c r="D34" s="5">
        <v>6234000600</v>
      </c>
      <c r="E34" s="156">
        <v>44603</v>
      </c>
      <c r="F34" s="155">
        <v>28435</v>
      </c>
      <c r="G34" s="214" t="s">
        <v>1</v>
      </c>
      <c r="H34" s="6"/>
      <c r="I34" s="15">
        <v>0</v>
      </c>
      <c r="J34" s="16">
        <v>26.9</v>
      </c>
      <c r="K34" s="3"/>
      <c r="L34" s="3" t="s">
        <v>34</v>
      </c>
      <c r="M34" s="5"/>
      <c r="N34" s="5"/>
      <c r="O34" s="7">
        <v>30600</v>
      </c>
      <c r="P34" s="6"/>
      <c r="Q34" s="20">
        <v>26.9</v>
      </c>
      <c r="R34" s="20">
        <v>26.9</v>
      </c>
      <c r="S34" t="s">
        <v>433</v>
      </c>
      <c r="T34">
        <f t="shared" si="0"/>
        <v>764901.5</v>
      </c>
      <c r="U34">
        <f t="shared" si="1"/>
        <v>2165</v>
      </c>
      <c r="V34">
        <f t="shared" si="2"/>
        <v>823140</v>
      </c>
      <c r="W34">
        <f t="shared" si="3"/>
        <v>58238.5</v>
      </c>
    </row>
    <row r="35" spans="1:23" x14ac:dyDescent="0.25">
      <c r="A35" s="204">
        <v>8602260410</v>
      </c>
      <c r="B35" s="204">
        <v>7203257029</v>
      </c>
      <c r="C35" s="126" t="s">
        <v>0</v>
      </c>
      <c r="D35" s="5">
        <v>6234000600</v>
      </c>
      <c r="E35" s="156">
        <v>44604</v>
      </c>
      <c r="F35" s="155">
        <v>26500</v>
      </c>
      <c r="G35" s="214" t="s">
        <v>421</v>
      </c>
      <c r="H35" s="204">
        <v>5501132737</v>
      </c>
      <c r="I35" s="15">
        <v>2600</v>
      </c>
      <c r="J35" s="16">
        <v>26.56</v>
      </c>
      <c r="K35" s="3" t="s">
        <v>16</v>
      </c>
      <c r="L35" s="3" t="s">
        <v>71</v>
      </c>
      <c r="M35" s="5" t="s">
        <v>51</v>
      </c>
      <c r="N35" s="5" t="s">
        <v>66</v>
      </c>
      <c r="O35" s="7">
        <v>30600</v>
      </c>
      <c r="P35" s="6"/>
      <c r="Q35" s="20">
        <v>26.56</v>
      </c>
      <c r="R35" s="20">
        <v>26.56</v>
      </c>
      <c r="S35" t="s">
        <v>433</v>
      </c>
      <c r="T35">
        <f t="shared" si="0"/>
        <v>772896</v>
      </c>
      <c r="U35">
        <f t="shared" si="1"/>
        <v>1500</v>
      </c>
      <c r="V35">
        <f t="shared" si="2"/>
        <v>812736</v>
      </c>
      <c r="W35">
        <f t="shared" si="3"/>
        <v>39840</v>
      </c>
    </row>
    <row r="36" spans="1:23" x14ac:dyDescent="0.25">
      <c r="A36" s="204">
        <v>8602260410</v>
      </c>
      <c r="B36" s="204">
        <v>7203257029</v>
      </c>
      <c r="C36" s="126" t="s">
        <v>0</v>
      </c>
      <c r="D36" s="5">
        <v>6234000600</v>
      </c>
      <c r="E36" s="156">
        <v>44604</v>
      </c>
      <c r="F36" s="155">
        <v>26500</v>
      </c>
      <c r="G36" s="214" t="s">
        <v>421</v>
      </c>
      <c r="H36" s="204">
        <v>5501132737</v>
      </c>
      <c r="I36" s="15">
        <v>2600</v>
      </c>
      <c r="J36" s="16">
        <v>26.22</v>
      </c>
      <c r="K36" s="3" t="s">
        <v>17</v>
      </c>
      <c r="L36" s="3" t="s">
        <v>70</v>
      </c>
      <c r="M36" s="5" t="s">
        <v>50</v>
      </c>
      <c r="N36" s="5" t="s">
        <v>67</v>
      </c>
      <c r="O36" s="7">
        <v>30600</v>
      </c>
      <c r="P36" s="6"/>
      <c r="Q36" s="20">
        <v>26.22</v>
      </c>
      <c r="R36" s="20">
        <v>26.22</v>
      </c>
      <c r="S36" t="s">
        <v>433</v>
      </c>
      <c r="T36">
        <f t="shared" si="0"/>
        <v>763002</v>
      </c>
      <c r="U36">
        <f t="shared" si="1"/>
        <v>1500</v>
      </c>
      <c r="V36">
        <f t="shared" si="2"/>
        <v>802332</v>
      </c>
      <c r="W36">
        <f t="shared" si="3"/>
        <v>39330</v>
      </c>
    </row>
    <row r="37" spans="1:23" x14ac:dyDescent="0.25">
      <c r="A37" s="204">
        <v>8602260410</v>
      </c>
      <c r="B37" s="204">
        <v>7203257029</v>
      </c>
      <c r="C37" s="126" t="s">
        <v>0</v>
      </c>
      <c r="D37" s="5">
        <v>6234000600</v>
      </c>
      <c r="E37" s="156">
        <v>44604</v>
      </c>
      <c r="F37" s="155">
        <v>26500</v>
      </c>
      <c r="G37" s="214" t="s">
        <v>421</v>
      </c>
      <c r="H37" s="204">
        <v>5501132737</v>
      </c>
      <c r="I37" s="15">
        <v>2600</v>
      </c>
      <c r="J37" s="16">
        <v>23.88</v>
      </c>
      <c r="K37" s="3" t="s">
        <v>18</v>
      </c>
      <c r="L37" s="3" t="s">
        <v>69</v>
      </c>
      <c r="M37" s="5" t="s">
        <v>51</v>
      </c>
      <c r="N37" s="5" t="s">
        <v>68</v>
      </c>
      <c r="O37" s="7">
        <v>30600</v>
      </c>
      <c r="P37" s="6"/>
      <c r="Q37" s="20">
        <v>23.88</v>
      </c>
      <c r="R37" s="20">
        <v>23.88</v>
      </c>
      <c r="S37" t="s">
        <v>433</v>
      </c>
      <c r="T37">
        <f t="shared" si="0"/>
        <v>694908</v>
      </c>
      <c r="U37">
        <f t="shared" si="1"/>
        <v>1500</v>
      </c>
      <c r="V37">
        <f t="shared" si="2"/>
        <v>730728</v>
      </c>
      <c r="W37">
        <f t="shared" si="3"/>
        <v>35820</v>
      </c>
    </row>
    <row r="38" spans="1:23" x14ac:dyDescent="0.25">
      <c r="A38" s="204">
        <v>8602260410</v>
      </c>
      <c r="B38" s="204">
        <v>7203257029</v>
      </c>
      <c r="C38" s="126" t="s">
        <v>0</v>
      </c>
      <c r="D38" s="5">
        <v>6234000600</v>
      </c>
      <c r="E38" s="156">
        <v>44605</v>
      </c>
      <c r="F38" s="155">
        <v>28435</v>
      </c>
      <c r="G38" s="214" t="s">
        <v>1</v>
      </c>
      <c r="H38" s="6"/>
      <c r="I38" s="15">
        <v>0</v>
      </c>
      <c r="J38" s="16">
        <v>23.18</v>
      </c>
      <c r="K38" s="3"/>
      <c r="L38" s="3" t="s">
        <v>38</v>
      </c>
      <c r="M38" s="5"/>
      <c r="N38" s="5"/>
      <c r="O38" s="7">
        <v>30600</v>
      </c>
      <c r="P38" s="6"/>
      <c r="Q38" s="20">
        <v>23.18</v>
      </c>
      <c r="R38" s="20">
        <v>23.18</v>
      </c>
      <c r="S38" t="s">
        <v>433</v>
      </c>
      <c r="T38">
        <f t="shared" si="0"/>
        <v>659123.30000000005</v>
      </c>
      <c r="U38">
        <f t="shared" si="1"/>
        <v>2165</v>
      </c>
      <c r="V38">
        <f t="shared" si="2"/>
        <v>709308</v>
      </c>
      <c r="W38">
        <f t="shared" si="3"/>
        <v>50184.699999999953</v>
      </c>
    </row>
    <row r="39" spans="1:23" x14ac:dyDescent="0.25">
      <c r="A39" s="204">
        <v>8602260410</v>
      </c>
      <c r="B39" s="204">
        <v>7203257029</v>
      </c>
      <c r="C39" s="126" t="s">
        <v>0</v>
      </c>
      <c r="D39" s="5">
        <v>6234000600</v>
      </c>
      <c r="E39" s="156">
        <v>44605</v>
      </c>
      <c r="F39" s="155">
        <v>28435</v>
      </c>
      <c r="G39" s="214" t="s">
        <v>1</v>
      </c>
      <c r="H39" s="6"/>
      <c r="I39" s="15">
        <v>0</v>
      </c>
      <c r="J39" s="16">
        <v>26.64</v>
      </c>
      <c r="K39" s="3"/>
      <c r="L39" s="3" t="s">
        <v>39</v>
      </c>
      <c r="M39" s="5"/>
      <c r="N39" s="5"/>
      <c r="O39" s="7">
        <v>30600</v>
      </c>
      <c r="P39" s="6"/>
      <c r="Q39" s="20">
        <v>26.64</v>
      </c>
      <c r="R39" s="20">
        <v>26.64</v>
      </c>
      <c r="S39" t="s">
        <v>433</v>
      </c>
      <c r="T39">
        <f t="shared" si="0"/>
        <v>757508.4</v>
      </c>
      <c r="U39">
        <f t="shared" si="1"/>
        <v>2165</v>
      </c>
      <c r="V39">
        <f t="shared" si="2"/>
        <v>815184</v>
      </c>
      <c r="W39">
        <f t="shared" si="3"/>
        <v>57675.599999999977</v>
      </c>
    </row>
    <row r="40" spans="1:23" x14ac:dyDescent="0.25">
      <c r="A40" s="204">
        <v>8602260410</v>
      </c>
      <c r="B40" s="204">
        <v>7203257029</v>
      </c>
      <c r="C40" s="126" t="s">
        <v>0</v>
      </c>
      <c r="D40" s="5">
        <v>6234000600</v>
      </c>
      <c r="E40" s="156">
        <v>44605</v>
      </c>
      <c r="F40" s="155">
        <v>28435</v>
      </c>
      <c r="G40" s="214" t="s">
        <v>1</v>
      </c>
      <c r="H40" s="6"/>
      <c r="I40" s="15">
        <v>0</v>
      </c>
      <c r="J40" s="16">
        <v>26.62</v>
      </c>
      <c r="K40" s="3"/>
      <c r="L40" s="3" t="s">
        <v>40</v>
      </c>
      <c r="M40" s="5"/>
      <c r="N40" s="5"/>
      <c r="O40" s="7">
        <v>30600</v>
      </c>
      <c r="P40" s="6"/>
      <c r="Q40" s="20">
        <v>26.62</v>
      </c>
      <c r="R40" s="20">
        <v>26.62</v>
      </c>
      <c r="S40" t="s">
        <v>433</v>
      </c>
      <c r="T40">
        <f t="shared" si="0"/>
        <v>756939.70000000007</v>
      </c>
      <c r="U40">
        <f t="shared" si="1"/>
        <v>2165</v>
      </c>
      <c r="V40">
        <f t="shared" si="2"/>
        <v>814572</v>
      </c>
      <c r="W40">
        <f t="shared" si="3"/>
        <v>57632.29999999993</v>
      </c>
    </row>
    <row r="41" spans="1:23" x14ac:dyDescent="0.25">
      <c r="A41" s="204">
        <v>8602260410</v>
      </c>
      <c r="B41" s="204">
        <v>7203257029</v>
      </c>
      <c r="C41" s="126" t="s">
        <v>0</v>
      </c>
      <c r="D41" s="5">
        <v>6234000600</v>
      </c>
      <c r="E41" s="156">
        <v>44605</v>
      </c>
      <c r="F41" s="155">
        <v>28435</v>
      </c>
      <c r="G41" s="214" t="s">
        <v>1</v>
      </c>
      <c r="H41" s="6"/>
      <c r="I41" s="15">
        <v>0</v>
      </c>
      <c r="J41" s="16">
        <v>22.54</v>
      </c>
      <c r="K41" s="3"/>
      <c r="L41" s="3" t="s">
        <v>33</v>
      </c>
      <c r="M41" s="5"/>
      <c r="N41" s="5"/>
      <c r="O41" s="7">
        <v>30600</v>
      </c>
      <c r="P41" s="6"/>
      <c r="Q41" s="20">
        <v>22.54</v>
      </c>
      <c r="R41" s="20">
        <v>22.54</v>
      </c>
      <c r="S41" t="s">
        <v>433</v>
      </c>
      <c r="T41">
        <f t="shared" si="0"/>
        <v>640924.9</v>
      </c>
      <c r="U41">
        <f t="shared" si="1"/>
        <v>2165</v>
      </c>
      <c r="V41">
        <f t="shared" si="2"/>
        <v>689724</v>
      </c>
      <c r="W41">
        <f t="shared" si="3"/>
        <v>48799.099999999977</v>
      </c>
    </row>
    <row r="42" spans="1:23" x14ac:dyDescent="0.25">
      <c r="A42" s="204">
        <v>8602260410</v>
      </c>
      <c r="B42" s="204">
        <v>7203257029</v>
      </c>
      <c r="C42" s="126" t="s">
        <v>0</v>
      </c>
      <c r="D42" s="5">
        <v>6234000600</v>
      </c>
      <c r="E42" s="156">
        <v>44605</v>
      </c>
      <c r="F42" s="155">
        <v>28435</v>
      </c>
      <c r="G42" s="214" t="s">
        <v>1</v>
      </c>
      <c r="H42" s="6"/>
      <c r="I42" s="15">
        <v>0</v>
      </c>
      <c r="J42" s="16">
        <v>24.36</v>
      </c>
      <c r="K42" s="3"/>
      <c r="L42" s="3" t="s">
        <v>30</v>
      </c>
      <c r="M42" s="5"/>
      <c r="N42" s="5"/>
      <c r="O42" s="7">
        <v>30600</v>
      </c>
      <c r="P42" s="6"/>
      <c r="Q42" s="20">
        <v>24.36</v>
      </c>
      <c r="R42" s="20">
        <v>24.36</v>
      </c>
      <c r="S42" t="s">
        <v>433</v>
      </c>
      <c r="T42">
        <f t="shared" si="0"/>
        <v>692676.6</v>
      </c>
      <c r="U42">
        <f t="shared" si="1"/>
        <v>2165</v>
      </c>
      <c r="V42">
        <f t="shared" si="2"/>
        <v>745416</v>
      </c>
      <c r="W42">
        <f t="shared" si="3"/>
        <v>52739.400000000023</v>
      </c>
    </row>
    <row r="43" spans="1:23" x14ac:dyDescent="0.25">
      <c r="A43" s="204">
        <v>8602260410</v>
      </c>
      <c r="B43" s="204">
        <v>7203257029</v>
      </c>
      <c r="C43" s="126" t="s">
        <v>0</v>
      </c>
      <c r="D43" s="5">
        <v>6234000600</v>
      </c>
      <c r="E43" s="156">
        <v>44605</v>
      </c>
      <c r="F43" s="155">
        <v>28435</v>
      </c>
      <c r="G43" s="214" t="s">
        <v>1</v>
      </c>
      <c r="H43" s="6"/>
      <c r="I43" s="15">
        <v>0</v>
      </c>
      <c r="J43" s="16">
        <v>26.86</v>
      </c>
      <c r="K43" s="3"/>
      <c r="L43" s="3" t="s">
        <v>41</v>
      </c>
      <c r="M43" s="5"/>
      <c r="N43" s="5"/>
      <c r="O43" s="7">
        <v>30600</v>
      </c>
      <c r="P43" s="6"/>
      <c r="Q43" s="20">
        <v>26.86</v>
      </c>
      <c r="R43" s="20">
        <v>26.86</v>
      </c>
      <c r="S43" t="s">
        <v>433</v>
      </c>
      <c r="T43">
        <f t="shared" si="0"/>
        <v>763764.1</v>
      </c>
      <c r="U43">
        <f t="shared" si="1"/>
        <v>2165</v>
      </c>
      <c r="V43">
        <f t="shared" si="2"/>
        <v>821916</v>
      </c>
      <c r="W43">
        <f t="shared" si="3"/>
        <v>58151.900000000023</v>
      </c>
    </row>
    <row r="44" spans="1:23" x14ac:dyDescent="0.25">
      <c r="A44" s="204">
        <v>8602260410</v>
      </c>
      <c r="B44" s="204">
        <v>7203257029</v>
      </c>
      <c r="C44" s="126" t="s">
        <v>0</v>
      </c>
      <c r="D44" s="5">
        <v>6234000600</v>
      </c>
      <c r="E44" s="156">
        <v>44605</v>
      </c>
      <c r="F44" s="155">
        <v>28435</v>
      </c>
      <c r="G44" s="214" t="s">
        <v>1</v>
      </c>
      <c r="H44" s="6"/>
      <c r="I44" s="15">
        <v>0</v>
      </c>
      <c r="J44" s="16">
        <v>26.6</v>
      </c>
      <c r="K44" s="3"/>
      <c r="L44" s="3" t="s">
        <v>32</v>
      </c>
      <c r="M44" s="5"/>
      <c r="N44" s="5"/>
      <c r="O44" s="7">
        <v>30600</v>
      </c>
      <c r="P44" s="6"/>
      <c r="Q44" s="20">
        <v>26.6</v>
      </c>
      <c r="R44" s="20">
        <v>26.6</v>
      </c>
      <c r="S44" t="s">
        <v>433</v>
      </c>
      <c r="T44">
        <f t="shared" si="0"/>
        <v>756371</v>
      </c>
      <c r="U44">
        <f t="shared" si="1"/>
        <v>2165</v>
      </c>
      <c r="V44">
        <f t="shared" si="2"/>
        <v>813960</v>
      </c>
      <c r="W44">
        <f t="shared" si="3"/>
        <v>57589</v>
      </c>
    </row>
    <row r="45" spans="1:23" x14ac:dyDescent="0.25">
      <c r="A45" s="204">
        <v>8602260410</v>
      </c>
      <c r="B45" s="204">
        <v>7203257029</v>
      </c>
      <c r="C45" s="126" t="s">
        <v>0</v>
      </c>
      <c r="D45" s="5">
        <v>6234000600</v>
      </c>
      <c r="E45" s="156">
        <v>44606</v>
      </c>
      <c r="F45" s="155">
        <v>28435</v>
      </c>
      <c r="G45" s="214" t="s">
        <v>1</v>
      </c>
      <c r="H45" s="6"/>
      <c r="I45" s="15">
        <v>0</v>
      </c>
      <c r="J45" s="16">
        <v>23.52</v>
      </c>
      <c r="K45" s="3"/>
      <c r="L45" s="3" t="s">
        <v>42</v>
      </c>
      <c r="M45" s="5"/>
      <c r="N45" s="5"/>
      <c r="O45" s="7">
        <v>30600</v>
      </c>
      <c r="P45" s="6"/>
      <c r="Q45" s="20">
        <v>23.52</v>
      </c>
      <c r="R45" s="20">
        <v>23.52</v>
      </c>
      <c r="S45" t="s">
        <v>433</v>
      </c>
      <c r="T45">
        <f t="shared" si="0"/>
        <v>668791.19999999995</v>
      </c>
      <c r="U45">
        <f t="shared" si="1"/>
        <v>2165</v>
      </c>
      <c r="V45">
        <f t="shared" si="2"/>
        <v>719712</v>
      </c>
      <c r="W45">
        <f t="shared" si="3"/>
        <v>50920.800000000047</v>
      </c>
    </row>
    <row r="46" spans="1:23" x14ac:dyDescent="0.25">
      <c r="A46" s="204">
        <v>8602260410</v>
      </c>
      <c r="B46" s="204">
        <v>7203257029</v>
      </c>
      <c r="C46" s="126" t="s">
        <v>0</v>
      </c>
      <c r="D46" s="5">
        <v>6234000600</v>
      </c>
      <c r="E46" s="156">
        <v>44606</v>
      </c>
      <c r="F46" s="155">
        <v>28435</v>
      </c>
      <c r="G46" s="214" t="s">
        <v>1</v>
      </c>
      <c r="H46" s="6"/>
      <c r="I46" s="15">
        <v>0</v>
      </c>
      <c r="J46" s="16">
        <v>23.54</v>
      </c>
      <c r="K46" s="3"/>
      <c r="L46" s="3" t="s">
        <v>43</v>
      </c>
      <c r="M46" s="5"/>
      <c r="N46" s="5"/>
      <c r="O46" s="7">
        <v>30600</v>
      </c>
      <c r="P46" s="6"/>
      <c r="Q46" s="20">
        <v>23.54</v>
      </c>
      <c r="R46" s="20">
        <v>23.54</v>
      </c>
      <c r="S46" t="s">
        <v>433</v>
      </c>
      <c r="T46">
        <f t="shared" si="0"/>
        <v>669359.9</v>
      </c>
      <c r="U46">
        <f t="shared" si="1"/>
        <v>2165</v>
      </c>
      <c r="V46">
        <f t="shared" si="2"/>
        <v>720324</v>
      </c>
      <c r="W46">
        <f t="shared" si="3"/>
        <v>50964.099999999977</v>
      </c>
    </row>
    <row r="47" spans="1:23" x14ac:dyDescent="0.25">
      <c r="A47" s="204">
        <v>8602260410</v>
      </c>
      <c r="B47" s="204">
        <v>7203257029</v>
      </c>
      <c r="C47" s="126" t="s">
        <v>0</v>
      </c>
      <c r="D47" s="5">
        <v>6234000600</v>
      </c>
      <c r="E47" s="156">
        <v>44606</v>
      </c>
      <c r="F47" s="155">
        <v>28435</v>
      </c>
      <c r="G47" s="214" t="s">
        <v>1</v>
      </c>
      <c r="H47" s="6"/>
      <c r="I47" s="15">
        <v>0</v>
      </c>
      <c r="J47" s="16">
        <v>23.54</v>
      </c>
      <c r="K47" s="3"/>
      <c r="L47" s="3" t="s">
        <v>44</v>
      </c>
      <c r="M47" s="5"/>
      <c r="N47" s="5"/>
      <c r="O47" s="7">
        <v>30600</v>
      </c>
      <c r="P47" s="6"/>
      <c r="Q47" s="20">
        <v>23.54</v>
      </c>
      <c r="R47" s="20">
        <v>23.54</v>
      </c>
      <c r="S47" t="s">
        <v>433</v>
      </c>
      <c r="T47">
        <f t="shared" si="0"/>
        <v>669359.9</v>
      </c>
      <c r="U47">
        <f t="shared" si="1"/>
        <v>2165</v>
      </c>
      <c r="V47">
        <f t="shared" si="2"/>
        <v>720324</v>
      </c>
      <c r="W47">
        <f t="shared" si="3"/>
        <v>50964.099999999977</v>
      </c>
    </row>
    <row r="48" spans="1:23" x14ac:dyDescent="0.25">
      <c r="A48" s="204">
        <v>8602260410</v>
      </c>
      <c r="B48" s="204">
        <v>7203257029</v>
      </c>
      <c r="C48" s="126" t="s">
        <v>0</v>
      </c>
      <c r="D48" s="5">
        <v>6234000600</v>
      </c>
      <c r="E48" s="156">
        <v>44606</v>
      </c>
      <c r="F48" s="155">
        <v>28435</v>
      </c>
      <c r="G48" s="214" t="s">
        <v>1</v>
      </c>
      <c r="H48" s="6"/>
      <c r="I48" s="15">
        <v>0</v>
      </c>
      <c r="J48" s="16">
        <v>26.62</v>
      </c>
      <c r="K48" s="3"/>
      <c r="L48" s="3" t="s">
        <v>29</v>
      </c>
      <c r="M48" s="5"/>
      <c r="N48" s="5"/>
      <c r="O48" s="7">
        <v>30600</v>
      </c>
      <c r="P48" s="6"/>
      <c r="Q48" s="20">
        <v>26.62</v>
      </c>
      <c r="R48" s="20">
        <v>26.62</v>
      </c>
      <c r="S48" t="s">
        <v>433</v>
      </c>
      <c r="T48">
        <f t="shared" si="0"/>
        <v>756939.70000000007</v>
      </c>
      <c r="U48">
        <f t="shared" si="1"/>
        <v>2165</v>
      </c>
      <c r="V48">
        <f t="shared" si="2"/>
        <v>814572</v>
      </c>
      <c r="W48">
        <f t="shared" si="3"/>
        <v>57632.29999999993</v>
      </c>
    </row>
    <row r="49" spans="1:23" x14ac:dyDescent="0.25">
      <c r="A49" s="204">
        <v>8602260410</v>
      </c>
      <c r="B49" s="204">
        <v>7203257029</v>
      </c>
      <c r="C49" s="126" t="s">
        <v>0</v>
      </c>
      <c r="D49" s="5">
        <v>6234000600</v>
      </c>
      <c r="E49" s="156">
        <v>44606</v>
      </c>
      <c r="F49" s="155">
        <v>28435</v>
      </c>
      <c r="G49" s="214" t="s">
        <v>1</v>
      </c>
      <c r="H49" s="6"/>
      <c r="I49" s="15">
        <v>0</v>
      </c>
      <c r="J49" s="16">
        <v>23.68</v>
      </c>
      <c r="K49" s="3"/>
      <c r="L49" s="3" t="s">
        <v>45</v>
      </c>
      <c r="M49" s="5"/>
      <c r="N49" s="5"/>
      <c r="O49" s="7">
        <v>30600</v>
      </c>
      <c r="P49" s="6"/>
      <c r="Q49" s="20">
        <v>23.68</v>
      </c>
      <c r="R49" s="20">
        <v>23.68</v>
      </c>
      <c r="S49" t="s">
        <v>433</v>
      </c>
      <c r="T49">
        <f t="shared" si="0"/>
        <v>673340.8</v>
      </c>
      <c r="U49">
        <f t="shared" si="1"/>
        <v>2165</v>
      </c>
      <c r="V49">
        <f t="shared" si="2"/>
        <v>724608</v>
      </c>
      <c r="W49">
        <f t="shared" si="3"/>
        <v>51267.199999999953</v>
      </c>
    </row>
    <row r="50" spans="1:23" x14ac:dyDescent="0.25">
      <c r="A50" s="204">
        <v>8602260410</v>
      </c>
      <c r="B50" s="25">
        <v>7204097787</v>
      </c>
      <c r="C50" s="126" t="s">
        <v>86</v>
      </c>
      <c r="D50" s="5">
        <v>6234000600</v>
      </c>
      <c r="E50" s="156">
        <v>44605</v>
      </c>
      <c r="F50" s="155">
        <v>26500</v>
      </c>
      <c r="G50" s="5" t="s">
        <v>421</v>
      </c>
      <c r="H50" s="204">
        <v>5501208190</v>
      </c>
      <c r="I50" s="26">
        <v>2400</v>
      </c>
      <c r="J50" s="28">
        <v>27.16</v>
      </c>
      <c r="K50" s="3" t="s">
        <v>87</v>
      </c>
      <c r="L50" s="6"/>
      <c r="M50" s="6"/>
      <c r="N50" s="6"/>
      <c r="O50" s="31">
        <v>31000</v>
      </c>
      <c r="P50" s="6"/>
      <c r="Q50" s="29">
        <v>27.16</v>
      </c>
      <c r="R50" s="30">
        <v>27.16</v>
      </c>
      <c r="S50" t="s">
        <v>433</v>
      </c>
      <c r="T50">
        <f t="shared" si="0"/>
        <v>784924</v>
      </c>
      <c r="U50">
        <f t="shared" si="1"/>
        <v>2100</v>
      </c>
      <c r="V50">
        <f t="shared" si="2"/>
        <v>841960</v>
      </c>
      <c r="W50">
        <f t="shared" si="3"/>
        <v>57036</v>
      </c>
    </row>
    <row r="51" spans="1:23" x14ac:dyDescent="0.25">
      <c r="A51" s="204">
        <v>8602260410</v>
      </c>
      <c r="B51" s="25">
        <v>7204097787</v>
      </c>
      <c r="C51" s="126" t="s">
        <v>86</v>
      </c>
      <c r="D51" s="5">
        <v>6234000600</v>
      </c>
      <c r="E51" s="156">
        <v>44605</v>
      </c>
      <c r="F51" s="155">
        <v>26500</v>
      </c>
      <c r="G51" s="5" t="s">
        <v>421</v>
      </c>
      <c r="H51" s="204">
        <v>5501132737</v>
      </c>
      <c r="I51" s="26">
        <v>2600</v>
      </c>
      <c r="J51" s="28">
        <v>24.52</v>
      </c>
      <c r="K51" s="3" t="s">
        <v>88</v>
      </c>
      <c r="L51" s="6"/>
      <c r="M51" s="6"/>
      <c r="N51" s="6"/>
      <c r="O51" s="31">
        <v>31000</v>
      </c>
      <c r="P51" s="6"/>
      <c r="Q51" s="29">
        <v>24.52</v>
      </c>
      <c r="R51" s="30">
        <v>24.52</v>
      </c>
      <c r="S51" t="s">
        <v>433</v>
      </c>
      <c r="T51">
        <f t="shared" si="0"/>
        <v>713532</v>
      </c>
      <c r="U51">
        <f t="shared" si="1"/>
        <v>1900</v>
      </c>
      <c r="V51">
        <f t="shared" si="2"/>
        <v>760120</v>
      </c>
      <c r="W51">
        <f t="shared" si="3"/>
        <v>46588</v>
      </c>
    </row>
    <row r="52" spans="1:23" x14ac:dyDescent="0.25">
      <c r="A52" s="204">
        <v>8602260410</v>
      </c>
      <c r="B52" s="204">
        <v>7204097787</v>
      </c>
      <c r="C52" s="126" t="s">
        <v>86</v>
      </c>
      <c r="D52" s="5">
        <v>6234000600</v>
      </c>
      <c r="E52" s="156">
        <v>44605</v>
      </c>
      <c r="F52" s="155">
        <v>26500</v>
      </c>
      <c r="G52" s="5" t="s">
        <v>421</v>
      </c>
      <c r="H52" s="204">
        <v>5501132737</v>
      </c>
      <c r="I52" s="26">
        <v>2600</v>
      </c>
      <c r="J52" s="28">
        <v>26.18</v>
      </c>
      <c r="K52" s="3" t="s">
        <v>89</v>
      </c>
      <c r="L52" s="6"/>
      <c r="M52" s="6"/>
      <c r="N52" s="6"/>
      <c r="O52" s="31">
        <v>31000</v>
      </c>
      <c r="P52" s="6"/>
      <c r="Q52" s="29">
        <v>26.18</v>
      </c>
      <c r="R52" s="30">
        <v>26.18</v>
      </c>
      <c r="S52" t="s">
        <v>433</v>
      </c>
      <c r="T52">
        <f t="shared" si="0"/>
        <v>761838</v>
      </c>
      <c r="U52">
        <f t="shared" si="1"/>
        <v>1900</v>
      </c>
      <c r="V52">
        <f t="shared" si="2"/>
        <v>811580</v>
      </c>
      <c r="W52">
        <f t="shared" si="3"/>
        <v>49742</v>
      </c>
    </row>
    <row r="53" spans="1:23" x14ac:dyDescent="0.25">
      <c r="A53" s="204">
        <v>8602260410</v>
      </c>
      <c r="B53" s="204">
        <v>7204097787</v>
      </c>
      <c r="C53" s="126" t="s">
        <v>86</v>
      </c>
      <c r="D53" s="5">
        <v>6234000600</v>
      </c>
      <c r="E53" s="156">
        <v>44607</v>
      </c>
      <c r="F53" s="155">
        <v>26500</v>
      </c>
      <c r="G53" s="5" t="s">
        <v>421</v>
      </c>
      <c r="H53" s="204">
        <v>5501132737</v>
      </c>
      <c r="I53" s="26">
        <v>2600</v>
      </c>
      <c r="J53" s="28">
        <v>26.5</v>
      </c>
      <c r="K53" s="3" t="s">
        <v>90</v>
      </c>
      <c r="L53" s="6"/>
      <c r="M53" s="6"/>
      <c r="N53" s="6"/>
      <c r="O53" s="31">
        <v>32000</v>
      </c>
      <c r="P53" s="6"/>
      <c r="Q53" s="29">
        <v>26.5</v>
      </c>
      <c r="R53" s="30">
        <v>26.5</v>
      </c>
      <c r="S53" t="s">
        <v>433</v>
      </c>
      <c r="T53">
        <f t="shared" si="0"/>
        <v>771150</v>
      </c>
      <c r="U53">
        <f t="shared" si="1"/>
        <v>2900</v>
      </c>
      <c r="V53">
        <f t="shared" si="2"/>
        <v>848000</v>
      </c>
      <c r="W53">
        <f t="shared" si="3"/>
        <v>76850</v>
      </c>
    </row>
    <row r="54" spans="1:23" x14ac:dyDescent="0.25">
      <c r="A54" s="204">
        <v>8602260410</v>
      </c>
      <c r="B54" s="204">
        <v>7204097787</v>
      </c>
      <c r="C54" s="126" t="s">
        <v>86</v>
      </c>
      <c r="D54" s="5">
        <v>6234000600</v>
      </c>
      <c r="E54" s="156">
        <v>44607</v>
      </c>
      <c r="F54" s="155">
        <v>26500</v>
      </c>
      <c r="G54" s="5" t="s">
        <v>421</v>
      </c>
      <c r="H54" s="204">
        <v>5501132737</v>
      </c>
      <c r="I54" s="26">
        <v>2600</v>
      </c>
      <c r="J54" s="28">
        <v>26.46</v>
      </c>
      <c r="K54" s="3" t="s">
        <v>91</v>
      </c>
      <c r="L54" s="6"/>
      <c r="M54" s="6"/>
      <c r="N54" s="6"/>
      <c r="O54" s="31">
        <v>32000</v>
      </c>
      <c r="P54" s="6"/>
      <c r="Q54" s="29">
        <v>26.46</v>
      </c>
      <c r="R54" s="30">
        <v>26.46</v>
      </c>
      <c r="S54" t="s">
        <v>433</v>
      </c>
      <c r="T54">
        <f t="shared" si="0"/>
        <v>769986</v>
      </c>
      <c r="U54">
        <f t="shared" si="1"/>
        <v>2900</v>
      </c>
      <c r="V54">
        <f t="shared" si="2"/>
        <v>846720</v>
      </c>
      <c r="W54">
        <f t="shared" si="3"/>
        <v>76734</v>
      </c>
    </row>
    <row r="55" spans="1:23" x14ac:dyDescent="0.25">
      <c r="A55" s="204">
        <v>8602260410</v>
      </c>
      <c r="B55" s="204">
        <v>7204097787</v>
      </c>
      <c r="C55" s="126" t="s">
        <v>86</v>
      </c>
      <c r="D55" s="5">
        <v>6234000600</v>
      </c>
      <c r="E55" s="156">
        <v>44607</v>
      </c>
      <c r="F55" s="155">
        <v>26500</v>
      </c>
      <c r="G55" s="5" t="s">
        <v>421</v>
      </c>
      <c r="H55" s="204">
        <v>5501132737</v>
      </c>
      <c r="I55" s="26">
        <v>2600</v>
      </c>
      <c r="J55" s="28">
        <v>24.36</v>
      </c>
      <c r="K55" s="3" t="s">
        <v>92</v>
      </c>
      <c r="L55" s="6"/>
      <c r="M55" s="6"/>
      <c r="N55" s="6"/>
      <c r="O55" s="31">
        <v>32000</v>
      </c>
      <c r="P55" s="6"/>
      <c r="Q55" s="29">
        <v>24.36</v>
      </c>
      <c r="R55" s="30">
        <v>24.36</v>
      </c>
      <c r="S55" t="s">
        <v>433</v>
      </c>
      <c r="T55">
        <f t="shared" si="0"/>
        <v>708876</v>
      </c>
      <c r="U55">
        <f t="shared" si="1"/>
        <v>2900</v>
      </c>
      <c r="V55">
        <f t="shared" si="2"/>
        <v>779520</v>
      </c>
      <c r="W55">
        <f t="shared" si="3"/>
        <v>70644</v>
      </c>
    </row>
    <row r="56" spans="1:23" x14ac:dyDescent="0.25">
      <c r="A56" s="41">
        <v>7203454549</v>
      </c>
      <c r="B56" s="204">
        <v>7204097787</v>
      </c>
      <c r="C56" s="126" t="s">
        <v>86</v>
      </c>
      <c r="D56" s="5">
        <v>6234000600</v>
      </c>
      <c r="E56" s="156">
        <v>44607</v>
      </c>
      <c r="F56" s="155">
        <v>27100</v>
      </c>
      <c r="G56" s="5" t="s">
        <v>421</v>
      </c>
      <c r="H56" s="27">
        <v>5506225174</v>
      </c>
      <c r="I56" s="26">
        <v>2400</v>
      </c>
      <c r="J56" s="28">
        <v>26.4</v>
      </c>
      <c r="K56" s="3" t="s">
        <v>93</v>
      </c>
      <c r="L56" s="6"/>
      <c r="M56" s="6"/>
      <c r="N56" s="6"/>
      <c r="O56" s="31">
        <v>32000</v>
      </c>
      <c r="P56" s="6"/>
      <c r="Q56" s="29">
        <v>26.4</v>
      </c>
      <c r="R56" s="30">
        <v>26.4</v>
      </c>
      <c r="S56" t="s">
        <v>433</v>
      </c>
      <c r="T56">
        <f t="shared" si="0"/>
        <v>778800</v>
      </c>
      <c r="U56">
        <f t="shared" si="1"/>
        <v>2500</v>
      </c>
      <c r="V56">
        <f t="shared" si="2"/>
        <v>844800</v>
      </c>
      <c r="W56">
        <f t="shared" si="3"/>
        <v>66000</v>
      </c>
    </row>
    <row r="57" spans="1:23" x14ac:dyDescent="0.25">
      <c r="A57" s="41">
        <v>7203454549</v>
      </c>
      <c r="B57" s="204">
        <v>7204097787</v>
      </c>
      <c r="C57" s="126" t="s">
        <v>86</v>
      </c>
      <c r="D57" s="5">
        <v>6234000600</v>
      </c>
      <c r="E57" s="156">
        <v>44607</v>
      </c>
      <c r="F57" s="155">
        <v>27100</v>
      </c>
      <c r="G57" s="5" t="s">
        <v>421</v>
      </c>
      <c r="H57" s="27">
        <v>5506225174</v>
      </c>
      <c r="I57" s="26">
        <v>2400</v>
      </c>
      <c r="J57" s="28">
        <v>26.58</v>
      </c>
      <c r="K57" s="3" t="s">
        <v>94</v>
      </c>
      <c r="L57" s="24"/>
      <c r="M57" s="6"/>
      <c r="N57" s="6"/>
      <c r="O57" s="31">
        <v>32000</v>
      </c>
      <c r="P57" s="6"/>
      <c r="Q57" s="29">
        <v>26.58</v>
      </c>
      <c r="R57" s="30">
        <v>26.58</v>
      </c>
      <c r="S57" t="s">
        <v>433</v>
      </c>
      <c r="T57">
        <f t="shared" si="0"/>
        <v>784110</v>
      </c>
      <c r="U57">
        <f t="shared" si="1"/>
        <v>2500</v>
      </c>
      <c r="V57">
        <f t="shared" si="2"/>
        <v>850560</v>
      </c>
      <c r="W57">
        <f t="shared" si="3"/>
        <v>66450</v>
      </c>
    </row>
    <row r="58" spans="1:23" x14ac:dyDescent="0.25">
      <c r="A58" s="204">
        <v>7203454549</v>
      </c>
      <c r="B58" s="204">
        <v>7204097787</v>
      </c>
      <c r="C58" s="126" t="s">
        <v>86</v>
      </c>
      <c r="D58" s="5">
        <v>6234000600</v>
      </c>
      <c r="E58" s="156">
        <v>44607</v>
      </c>
      <c r="F58" s="155">
        <v>27100</v>
      </c>
      <c r="G58" s="5" t="s">
        <v>421</v>
      </c>
      <c r="H58" s="204">
        <v>5506225174</v>
      </c>
      <c r="I58" s="26">
        <v>2400</v>
      </c>
      <c r="J58" s="28">
        <v>24</v>
      </c>
      <c r="K58" s="3" t="s">
        <v>95</v>
      </c>
      <c r="L58" s="24"/>
      <c r="M58" s="6"/>
      <c r="N58" s="6"/>
      <c r="O58" s="31">
        <v>32000</v>
      </c>
      <c r="P58" s="6"/>
      <c r="Q58" s="29">
        <v>24</v>
      </c>
      <c r="R58" s="30">
        <v>24</v>
      </c>
      <c r="S58" t="s">
        <v>433</v>
      </c>
      <c r="T58">
        <f t="shared" si="0"/>
        <v>708000</v>
      </c>
      <c r="U58">
        <f t="shared" si="1"/>
        <v>2500</v>
      </c>
      <c r="V58">
        <f t="shared" si="2"/>
        <v>768000</v>
      </c>
      <c r="W58">
        <f t="shared" si="3"/>
        <v>60000</v>
      </c>
    </row>
    <row r="59" spans="1:23" x14ac:dyDescent="0.25">
      <c r="A59" s="204">
        <v>7203454549</v>
      </c>
      <c r="B59" s="32">
        <v>7203333985</v>
      </c>
      <c r="C59" s="126" t="s">
        <v>96</v>
      </c>
      <c r="D59" s="5">
        <v>6234000600</v>
      </c>
      <c r="E59" s="156">
        <v>44606</v>
      </c>
      <c r="F59" s="155">
        <v>26500</v>
      </c>
      <c r="G59" s="5" t="s">
        <v>421</v>
      </c>
      <c r="H59" s="204">
        <v>5506225174</v>
      </c>
      <c r="I59" s="34">
        <v>4400</v>
      </c>
      <c r="J59" s="35">
        <v>23.68</v>
      </c>
      <c r="K59" s="3" t="s">
        <v>18</v>
      </c>
      <c r="L59" s="3" t="s">
        <v>69</v>
      </c>
      <c r="M59" s="21" t="s">
        <v>51</v>
      </c>
      <c r="N59" s="21" t="s">
        <v>68</v>
      </c>
      <c r="O59" s="38">
        <v>31750</v>
      </c>
      <c r="P59" s="6"/>
      <c r="Q59" s="36">
        <v>23.68</v>
      </c>
      <c r="R59" s="37">
        <v>23.68</v>
      </c>
      <c r="S59" t="s">
        <v>433</v>
      </c>
      <c r="T59">
        <f t="shared" si="0"/>
        <v>731712</v>
      </c>
      <c r="U59">
        <f t="shared" si="1"/>
        <v>850</v>
      </c>
      <c r="V59">
        <f t="shared" si="2"/>
        <v>751840</v>
      </c>
      <c r="W59">
        <f t="shared" si="3"/>
        <v>20128</v>
      </c>
    </row>
    <row r="60" spans="1:23" x14ac:dyDescent="0.25">
      <c r="A60" s="204">
        <v>7203454549</v>
      </c>
      <c r="B60" s="204">
        <v>7203415042</v>
      </c>
      <c r="C60" s="126" t="s">
        <v>96</v>
      </c>
      <c r="D60" s="5">
        <v>6234000600</v>
      </c>
      <c r="E60" s="156">
        <v>44608</v>
      </c>
      <c r="F60" s="155">
        <v>27100</v>
      </c>
      <c r="G60" s="5" t="s">
        <v>421</v>
      </c>
      <c r="H60" s="204">
        <v>5503182532</v>
      </c>
      <c r="I60" s="34">
        <v>4400</v>
      </c>
      <c r="J60" s="35">
        <v>26.6</v>
      </c>
      <c r="K60" s="3" t="s">
        <v>97</v>
      </c>
      <c r="L60" s="3" t="s">
        <v>156</v>
      </c>
      <c r="M60" s="21" t="s">
        <v>46</v>
      </c>
      <c r="N60" s="21" t="s">
        <v>137</v>
      </c>
      <c r="O60" s="38">
        <v>32600</v>
      </c>
      <c r="P60" s="6"/>
      <c r="Q60" s="36">
        <v>26.6</v>
      </c>
      <c r="R60" s="37">
        <v>26.6</v>
      </c>
      <c r="S60" t="s">
        <v>433</v>
      </c>
      <c r="T60">
        <f t="shared" si="0"/>
        <v>837900</v>
      </c>
      <c r="U60">
        <f t="shared" si="1"/>
        <v>1100</v>
      </c>
      <c r="V60">
        <f t="shared" si="2"/>
        <v>867160</v>
      </c>
      <c r="W60">
        <f t="shared" si="3"/>
        <v>29260</v>
      </c>
    </row>
    <row r="61" spans="1:23" x14ac:dyDescent="0.25">
      <c r="A61" s="204">
        <v>7203454549</v>
      </c>
      <c r="B61" s="204">
        <v>7203415042</v>
      </c>
      <c r="C61" s="126" t="s">
        <v>96</v>
      </c>
      <c r="D61" s="5">
        <v>6234000600</v>
      </c>
      <c r="E61" s="156">
        <v>44608</v>
      </c>
      <c r="F61" s="155">
        <v>27100</v>
      </c>
      <c r="G61" s="5" t="s">
        <v>421</v>
      </c>
      <c r="H61" s="204">
        <v>5503182532</v>
      </c>
      <c r="I61" s="34">
        <v>4400</v>
      </c>
      <c r="J61" s="35">
        <v>26.6</v>
      </c>
      <c r="K61" s="3" t="s">
        <v>2</v>
      </c>
      <c r="L61" s="3" t="s">
        <v>82</v>
      </c>
      <c r="M61" s="21" t="s">
        <v>46</v>
      </c>
      <c r="N61" s="21" t="s">
        <v>52</v>
      </c>
      <c r="O61" s="38">
        <v>32600</v>
      </c>
      <c r="P61" s="6"/>
      <c r="Q61" s="36">
        <v>26.6</v>
      </c>
      <c r="R61" s="37">
        <v>26.6</v>
      </c>
      <c r="S61" t="s">
        <v>433</v>
      </c>
      <c r="T61">
        <f t="shared" si="0"/>
        <v>837900</v>
      </c>
      <c r="U61">
        <f t="shared" si="1"/>
        <v>1100</v>
      </c>
      <c r="V61">
        <f t="shared" si="2"/>
        <v>867160</v>
      </c>
      <c r="W61">
        <f t="shared" si="3"/>
        <v>29260</v>
      </c>
    </row>
    <row r="62" spans="1:23" x14ac:dyDescent="0.25">
      <c r="A62" s="204">
        <v>7203454549</v>
      </c>
      <c r="B62" s="204">
        <v>7203415042</v>
      </c>
      <c r="C62" s="126" t="s">
        <v>96</v>
      </c>
      <c r="D62" s="5">
        <v>6234000600</v>
      </c>
      <c r="E62" s="156">
        <v>44608</v>
      </c>
      <c r="F62" s="155">
        <v>27500</v>
      </c>
      <c r="G62" s="5" t="s">
        <v>421</v>
      </c>
      <c r="H62" s="204">
        <v>5506225174</v>
      </c>
      <c r="I62" s="34">
        <v>4400</v>
      </c>
      <c r="J62" s="35">
        <v>26.58</v>
      </c>
      <c r="K62" s="3" t="s">
        <v>98</v>
      </c>
      <c r="L62" s="3" t="s">
        <v>157</v>
      </c>
      <c r="M62" s="21" t="s">
        <v>133</v>
      </c>
      <c r="N62" s="21" t="s">
        <v>138</v>
      </c>
      <c r="O62" s="38">
        <v>32600</v>
      </c>
      <c r="P62" s="6"/>
      <c r="Q62" s="36">
        <v>26.58</v>
      </c>
      <c r="R62" s="37">
        <v>26.58</v>
      </c>
      <c r="S62" t="s">
        <v>433</v>
      </c>
      <c r="T62">
        <f t="shared" si="0"/>
        <v>847902</v>
      </c>
      <c r="U62">
        <f t="shared" si="1"/>
        <v>700</v>
      </c>
      <c r="V62">
        <f t="shared" si="2"/>
        <v>866508</v>
      </c>
      <c r="W62">
        <f t="shared" si="3"/>
        <v>18606</v>
      </c>
    </row>
    <row r="63" spans="1:23" x14ac:dyDescent="0.25">
      <c r="A63" s="204">
        <v>7203454549</v>
      </c>
      <c r="B63" s="204">
        <v>7203415042</v>
      </c>
      <c r="C63" s="126" t="s">
        <v>96</v>
      </c>
      <c r="D63" s="5">
        <v>6234000600</v>
      </c>
      <c r="E63" s="156">
        <v>44608</v>
      </c>
      <c r="F63" s="155">
        <v>27500</v>
      </c>
      <c r="G63" s="5" t="s">
        <v>421</v>
      </c>
      <c r="H63" s="204">
        <v>5506225174</v>
      </c>
      <c r="I63" s="34">
        <v>4400</v>
      </c>
      <c r="J63" s="35">
        <v>26.96</v>
      </c>
      <c r="K63" s="3" t="s">
        <v>99</v>
      </c>
      <c r="L63" s="3" t="s">
        <v>158</v>
      </c>
      <c r="M63" s="21" t="s">
        <v>47</v>
      </c>
      <c r="N63" s="21" t="s">
        <v>139</v>
      </c>
      <c r="O63" s="38">
        <v>32600</v>
      </c>
      <c r="P63" s="6"/>
      <c r="Q63" s="36">
        <v>26.96</v>
      </c>
      <c r="R63" s="37">
        <v>26.96</v>
      </c>
      <c r="S63" t="s">
        <v>433</v>
      </c>
      <c r="T63">
        <f t="shared" si="0"/>
        <v>860024</v>
      </c>
      <c r="U63">
        <f t="shared" si="1"/>
        <v>700</v>
      </c>
      <c r="V63">
        <f t="shared" si="2"/>
        <v>878896</v>
      </c>
      <c r="W63">
        <f t="shared" si="3"/>
        <v>18872</v>
      </c>
    </row>
    <row r="64" spans="1:23" x14ac:dyDescent="0.25">
      <c r="A64" s="204">
        <v>7203454549</v>
      </c>
      <c r="B64" s="204">
        <v>7203415042</v>
      </c>
      <c r="C64" s="126" t="s">
        <v>96</v>
      </c>
      <c r="D64" s="5">
        <v>6234000600</v>
      </c>
      <c r="E64" s="156">
        <v>44608</v>
      </c>
      <c r="F64" s="155">
        <v>27500</v>
      </c>
      <c r="G64" s="5" t="s">
        <v>421</v>
      </c>
      <c r="H64" s="204">
        <v>5501208190</v>
      </c>
      <c r="I64" s="34">
        <v>4400</v>
      </c>
      <c r="J64" s="35">
        <v>26.68</v>
      </c>
      <c r="K64" s="3" t="s">
        <v>100</v>
      </c>
      <c r="L64" s="3" t="s">
        <v>84</v>
      </c>
      <c r="M64" s="21" t="s">
        <v>49</v>
      </c>
      <c r="N64" s="21" t="s">
        <v>55</v>
      </c>
      <c r="O64" s="38">
        <v>32600</v>
      </c>
      <c r="P64" s="6"/>
      <c r="Q64" s="36">
        <v>26.68</v>
      </c>
      <c r="R64" s="37">
        <v>26.68</v>
      </c>
      <c r="S64" t="s">
        <v>433</v>
      </c>
      <c r="T64">
        <f t="shared" si="0"/>
        <v>851092</v>
      </c>
      <c r="U64">
        <f t="shared" si="1"/>
        <v>700</v>
      </c>
      <c r="V64">
        <f t="shared" si="2"/>
        <v>869768</v>
      </c>
      <c r="W64">
        <f t="shared" si="3"/>
        <v>18676</v>
      </c>
    </row>
    <row r="65" spans="1:23" x14ac:dyDescent="0.25">
      <c r="A65" s="204">
        <v>7203454549</v>
      </c>
      <c r="B65" s="204">
        <v>7203415042</v>
      </c>
      <c r="C65" s="126" t="s">
        <v>96</v>
      </c>
      <c r="D65" s="5">
        <v>6234000600</v>
      </c>
      <c r="E65" s="156">
        <v>44609</v>
      </c>
      <c r="F65" s="155">
        <v>27100</v>
      </c>
      <c r="G65" s="5" t="s">
        <v>421</v>
      </c>
      <c r="H65" s="204">
        <v>5501208190</v>
      </c>
      <c r="I65" s="34">
        <v>4400</v>
      </c>
      <c r="J65" s="35">
        <v>26.84</v>
      </c>
      <c r="K65" s="3" t="s">
        <v>101</v>
      </c>
      <c r="L65" s="3" t="s">
        <v>159</v>
      </c>
      <c r="M65" s="21" t="s">
        <v>49</v>
      </c>
      <c r="N65" s="21" t="s">
        <v>140</v>
      </c>
      <c r="O65" s="38">
        <v>32600</v>
      </c>
      <c r="P65" s="6"/>
      <c r="Q65" s="36">
        <v>26.84</v>
      </c>
      <c r="R65" s="37">
        <v>26.84</v>
      </c>
      <c r="S65" t="s">
        <v>433</v>
      </c>
      <c r="T65">
        <f t="shared" si="0"/>
        <v>845460</v>
      </c>
      <c r="U65">
        <f t="shared" si="1"/>
        <v>1100</v>
      </c>
      <c r="V65">
        <f t="shared" si="2"/>
        <v>874984</v>
      </c>
      <c r="W65">
        <f t="shared" si="3"/>
        <v>29524</v>
      </c>
    </row>
    <row r="66" spans="1:23" x14ac:dyDescent="0.25">
      <c r="A66" s="204">
        <v>7203454549</v>
      </c>
      <c r="B66" s="204">
        <v>7203415042</v>
      </c>
      <c r="C66" s="126" t="s">
        <v>96</v>
      </c>
      <c r="D66" s="5">
        <v>6234000600</v>
      </c>
      <c r="E66" s="156">
        <v>44609</v>
      </c>
      <c r="F66" s="155">
        <v>27100</v>
      </c>
      <c r="G66" s="5" t="s">
        <v>421</v>
      </c>
      <c r="H66" s="204">
        <v>5501208190</v>
      </c>
      <c r="I66" s="34">
        <v>4400</v>
      </c>
      <c r="J66" s="35">
        <v>26.5</v>
      </c>
      <c r="K66" s="3" t="s">
        <v>3</v>
      </c>
      <c r="L66" s="3" t="s">
        <v>83</v>
      </c>
      <c r="M66" s="21" t="s">
        <v>47</v>
      </c>
      <c r="N66" s="21" t="s">
        <v>53</v>
      </c>
      <c r="O66" s="38">
        <v>32600</v>
      </c>
      <c r="P66" s="6"/>
      <c r="Q66" s="36">
        <v>26.5</v>
      </c>
      <c r="R66" s="37">
        <v>26.5</v>
      </c>
      <c r="S66" t="s">
        <v>433</v>
      </c>
      <c r="T66">
        <f t="shared" si="0"/>
        <v>834750</v>
      </c>
      <c r="U66">
        <f t="shared" si="1"/>
        <v>1100</v>
      </c>
      <c r="V66">
        <f t="shared" si="2"/>
        <v>863900</v>
      </c>
      <c r="W66">
        <f t="shared" si="3"/>
        <v>29150</v>
      </c>
    </row>
    <row r="67" spans="1:23" x14ac:dyDescent="0.25">
      <c r="A67" s="204">
        <v>7203454549</v>
      </c>
      <c r="B67" s="204">
        <v>7203415042</v>
      </c>
      <c r="C67" s="126" t="s">
        <v>96</v>
      </c>
      <c r="D67" s="5">
        <v>6234000600</v>
      </c>
      <c r="E67" s="156">
        <v>44609</v>
      </c>
      <c r="F67" s="155">
        <v>27100</v>
      </c>
      <c r="G67" s="5" t="s">
        <v>421</v>
      </c>
      <c r="H67" s="33">
        <v>5507259666</v>
      </c>
      <c r="I67" s="34">
        <v>4400</v>
      </c>
      <c r="J67" s="35">
        <v>26.62</v>
      </c>
      <c r="K67" s="3" t="s">
        <v>102</v>
      </c>
      <c r="L67" s="3" t="s">
        <v>160</v>
      </c>
      <c r="M67" s="21" t="s">
        <v>134</v>
      </c>
      <c r="N67" s="21" t="s">
        <v>141</v>
      </c>
      <c r="O67" s="38">
        <v>32600</v>
      </c>
      <c r="P67" s="6"/>
      <c r="Q67" s="36">
        <v>26.62</v>
      </c>
      <c r="R67" s="37">
        <v>26.62</v>
      </c>
      <c r="S67" t="s">
        <v>433</v>
      </c>
      <c r="T67">
        <f t="shared" ref="T67:T130" si="4">(I67+F67)*J67</f>
        <v>838530</v>
      </c>
      <c r="U67">
        <f t="shared" ref="U67:U130" si="5">O67-(F67+I67)</f>
        <v>1100</v>
      </c>
      <c r="V67">
        <f t="shared" ref="V67:V130" si="6">O67*J67</f>
        <v>867812</v>
      </c>
      <c r="W67">
        <f t="shared" ref="W67:W130" si="7">V67-T67</f>
        <v>29282</v>
      </c>
    </row>
    <row r="68" spans="1:23" x14ac:dyDescent="0.25">
      <c r="A68" s="204">
        <v>7203454549</v>
      </c>
      <c r="B68" s="204">
        <v>7203415042</v>
      </c>
      <c r="C68" s="126" t="s">
        <v>96</v>
      </c>
      <c r="D68" s="5">
        <v>6234000600</v>
      </c>
      <c r="E68" s="156">
        <v>44612</v>
      </c>
      <c r="F68" s="155">
        <v>27100</v>
      </c>
      <c r="G68" s="5" t="s">
        <v>421</v>
      </c>
      <c r="H68" s="204">
        <v>5501208190</v>
      </c>
      <c r="I68" s="34">
        <v>4400</v>
      </c>
      <c r="J68" s="35">
        <v>26.58</v>
      </c>
      <c r="K68" s="3" t="s">
        <v>100</v>
      </c>
      <c r="L68" s="3" t="s">
        <v>84</v>
      </c>
      <c r="M68" s="21" t="s">
        <v>49</v>
      </c>
      <c r="N68" s="21" t="s">
        <v>55</v>
      </c>
      <c r="O68" s="38">
        <v>32600</v>
      </c>
      <c r="P68" s="6"/>
      <c r="Q68" s="36">
        <v>26.58</v>
      </c>
      <c r="R68" s="37">
        <v>26.58</v>
      </c>
      <c r="S68" t="s">
        <v>433</v>
      </c>
      <c r="T68">
        <f t="shared" si="4"/>
        <v>837270</v>
      </c>
      <c r="U68">
        <f t="shared" si="5"/>
        <v>1100</v>
      </c>
      <c r="V68">
        <f t="shared" si="6"/>
        <v>866508</v>
      </c>
      <c r="W68">
        <f t="shared" si="7"/>
        <v>29238</v>
      </c>
    </row>
    <row r="69" spans="1:23" x14ac:dyDescent="0.25">
      <c r="A69" s="204">
        <v>7203454549</v>
      </c>
      <c r="B69" s="204">
        <v>7203415042</v>
      </c>
      <c r="C69" s="126" t="s">
        <v>96</v>
      </c>
      <c r="D69" s="5">
        <v>6234000600</v>
      </c>
      <c r="E69" s="156">
        <v>44612</v>
      </c>
      <c r="F69" s="155">
        <v>27100</v>
      </c>
      <c r="G69" s="5" t="s">
        <v>421</v>
      </c>
      <c r="H69" s="204">
        <v>5501208190</v>
      </c>
      <c r="I69" s="34">
        <v>4400</v>
      </c>
      <c r="J69" s="35">
        <v>26.72</v>
      </c>
      <c r="K69" s="3" t="s">
        <v>3</v>
      </c>
      <c r="L69" s="3" t="s">
        <v>83</v>
      </c>
      <c r="M69" s="21" t="s">
        <v>47</v>
      </c>
      <c r="N69" s="21" t="s">
        <v>53</v>
      </c>
      <c r="O69" s="38">
        <v>32600</v>
      </c>
      <c r="P69" s="6"/>
      <c r="Q69" s="36">
        <v>26.72</v>
      </c>
      <c r="R69" s="37">
        <v>26.72</v>
      </c>
      <c r="S69" t="s">
        <v>433</v>
      </c>
      <c r="T69">
        <f t="shared" si="4"/>
        <v>841680</v>
      </c>
      <c r="U69">
        <f t="shared" si="5"/>
        <v>1100</v>
      </c>
      <c r="V69">
        <f t="shared" si="6"/>
        <v>871072</v>
      </c>
      <c r="W69">
        <f t="shared" si="7"/>
        <v>29392</v>
      </c>
    </row>
    <row r="70" spans="1:23" x14ac:dyDescent="0.25">
      <c r="A70" s="204">
        <v>7203454549</v>
      </c>
      <c r="B70" s="204">
        <v>7203415042</v>
      </c>
      <c r="C70" s="126" t="s">
        <v>96</v>
      </c>
      <c r="D70" s="5">
        <v>6234000600</v>
      </c>
      <c r="E70" s="156">
        <v>44612</v>
      </c>
      <c r="F70" s="155">
        <v>27100</v>
      </c>
      <c r="G70" s="5" t="s">
        <v>421</v>
      </c>
      <c r="H70" s="204">
        <v>5501208190</v>
      </c>
      <c r="I70" s="34">
        <v>4400</v>
      </c>
      <c r="J70" s="35">
        <v>26.68</v>
      </c>
      <c r="K70" s="3" t="s">
        <v>101</v>
      </c>
      <c r="L70" s="3" t="s">
        <v>159</v>
      </c>
      <c r="M70" s="21" t="s">
        <v>49</v>
      </c>
      <c r="N70" s="21" t="s">
        <v>140</v>
      </c>
      <c r="O70" s="38">
        <v>32600</v>
      </c>
      <c r="P70" s="6"/>
      <c r="Q70" s="36">
        <v>26.68</v>
      </c>
      <c r="R70" s="37">
        <v>26.68</v>
      </c>
      <c r="S70" t="s">
        <v>433</v>
      </c>
      <c r="T70">
        <f t="shared" si="4"/>
        <v>840420</v>
      </c>
      <c r="U70">
        <f t="shared" si="5"/>
        <v>1100</v>
      </c>
      <c r="V70">
        <f t="shared" si="6"/>
        <v>869768</v>
      </c>
      <c r="W70">
        <f t="shared" si="7"/>
        <v>29348</v>
      </c>
    </row>
    <row r="71" spans="1:23" x14ac:dyDescent="0.25">
      <c r="A71" s="204">
        <v>7203454549</v>
      </c>
      <c r="B71" s="204">
        <v>7203415042</v>
      </c>
      <c r="C71" s="126" t="s">
        <v>96</v>
      </c>
      <c r="D71" s="5">
        <v>6234000600</v>
      </c>
      <c r="E71" s="156">
        <v>44613</v>
      </c>
      <c r="F71" s="155">
        <v>27100</v>
      </c>
      <c r="G71" s="5" t="s">
        <v>421</v>
      </c>
      <c r="H71" s="204">
        <v>5503182532</v>
      </c>
      <c r="I71" s="34">
        <v>4400</v>
      </c>
      <c r="J71" s="35">
        <v>26.14</v>
      </c>
      <c r="K71" s="3" t="s">
        <v>103</v>
      </c>
      <c r="L71" s="3" t="s">
        <v>161</v>
      </c>
      <c r="M71" s="21" t="s">
        <v>46</v>
      </c>
      <c r="N71" s="21" t="s">
        <v>142</v>
      </c>
      <c r="O71" s="38">
        <v>32600</v>
      </c>
      <c r="P71" s="6"/>
      <c r="Q71" s="36">
        <v>26.14</v>
      </c>
      <c r="R71" s="37">
        <v>26.14</v>
      </c>
      <c r="S71" t="s">
        <v>433</v>
      </c>
      <c r="T71">
        <f t="shared" si="4"/>
        <v>823410</v>
      </c>
      <c r="U71">
        <f t="shared" si="5"/>
        <v>1100</v>
      </c>
      <c r="V71">
        <f t="shared" si="6"/>
        <v>852164</v>
      </c>
      <c r="W71">
        <f t="shared" si="7"/>
        <v>28754</v>
      </c>
    </row>
    <row r="72" spans="1:23" x14ac:dyDescent="0.25">
      <c r="A72" s="204">
        <v>7203454549</v>
      </c>
      <c r="B72" s="204">
        <v>7203415042</v>
      </c>
      <c r="C72" s="126" t="s">
        <v>96</v>
      </c>
      <c r="D72" s="5">
        <v>6234000600</v>
      </c>
      <c r="E72" s="156">
        <v>44613</v>
      </c>
      <c r="F72" s="155">
        <v>27100</v>
      </c>
      <c r="G72" s="5" t="s">
        <v>421</v>
      </c>
      <c r="H72" s="204">
        <v>5503182532</v>
      </c>
      <c r="I72" s="34">
        <v>4400</v>
      </c>
      <c r="J72" s="35">
        <v>26.46</v>
      </c>
      <c r="K72" s="3" t="s">
        <v>97</v>
      </c>
      <c r="L72" s="3" t="s">
        <v>156</v>
      </c>
      <c r="M72" s="21" t="s">
        <v>46</v>
      </c>
      <c r="N72" s="21" t="s">
        <v>137</v>
      </c>
      <c r="O72" s="38">
        <v>32600</v>
      </c>
      <c r="P72" s="6"/>
      <c r="Q72" s="36">
        <v>26.46</v>
      </c>
      <c r="R72" s="37">
        <v>26.46</v>
      </c>
      <c r="S72" t="s">
        <v>433</v>
      </c>
      <c r="T72">
        <f t="shared" si="4"/>
        <v>833490</v>
      </c>
      <c r="U72">
        <f t="shared" si="5"/>
        <v>1100</v>
      </c>
      <c r="V72">
        <f t="shared" si="6"/>
        <v>862596</v>
      </c>
      <c r="W72">
        <f t="shared" si="7"/>
        <v>29106</v>
      </c>
    </row>
    <row r="73" spans="1:23" x14ac:dyDescent="0.25">
      <c r="A73" s="204">
        <v>7203454549</v>
      </c>
      <c r="B73" s="204">
        <v>7203415042</v>
      </c>
      <c r="C73" s="126" t="s">
        <v>96</v>
      </c>
      <c r="D73" s="5">
        <v>6234000600</v>
      </c>
      <c r="E73" s="156">
        <v>44613</v>
      </c>
      <c r="F73" s="155">
        <v>27100</v>
      </c>
      <c r="G73" s="5" t="s">
        <v>421</v>
      </c>
      <c r="H73" s="204">
        <v>5506225174</v>
      </c>
      <c r="I73" s="34">
        <v>4400</v>
      </c>
      <c r="J73" s="35">
        <v>26.74</v>
      </c>
      <c r="K73" s="3" t="s">
        <v>99</v>
      </c>
      <c r="L73" s="3" t="s">
        <v>158</v>
      </c>
      <c r="M73" s="21" t="s">
        <v>47</v>
      </c>
      <c r="N73" s="21" t="s">
        <v>139</v>
      </c>
      <c r="O73" s="38">
        <v>32600</v>
      </c>
      <c r="P73" s="6"/>
      <c r="Q73" s="36">
        <v>26.74</v>
      </c>
      <c r="R73" s="37">
        <v>26.74</v>
      </c>
      <c r="S73" t="s">
        <v>433</v>
      </c>
      <c r="T73">
        <f t="shared" si="4"/>
        <v>842310</v>
      </c>
      <c r="U73">
        <f t="shared" si="5"/>
        <v>1100</v>
      </c>
      <c r="V73">
        <f t="shared" si="6"/>
        <v>871724</v>
      </c>
      <c r="W73">
        <f t="shared" si="7"/>
        <v>29414</v>
      </c>
    </row>
    <row r="74" spans="1:23" x14ac:dyDescent="0.25">
      <c r="A74" s="204">
        <v>7203454549</v>
      </c>
      <c r="B74" s="204">
        <v>7203415042</v>
      </c>
      <c r="C74" s="126" t="s">
        <v>96</v>
      </c>
      <c r="D74" s="5">
        <v>6234000600</v>
      </c>
      <c r="E74" s="156">
        <v>44613</v>
      </c>
      <c r="F74" s="155">
        <v>27100</v>
      </c>
      <c r="G74" s="5" t="s">
        <v>421</v>
      </c>
      <c r="H74" s="204">
        <v>5506225174</v>
      </c>
      <c r="I74" s="34">
        <v>4400</v>
      </c>
      <c r="J74" s="35">
        <v>26.54</v>
      </c>
      <c r="K74" s="3" t="s">
        <v>94</v>
      </c>
      <c r="L74" s="3" t="s">
        <v>162</v>
      </c>
      <c r="M74" s="21" t="s">
        <v>49</v>
      </c>
      <c r="N74" s="21" t="s">
        <v>143</v>
      </c>
      <c r="O74" s="38">
        <v>32600</v>
      </c>
      <c r="P74" s="6"/>
      <c r="Q74" s="36">
        <v>26.54</v>
      </c>
      <c r="R74" s="37">
        <v>26.54</v>
      </c>
      <c r="S74" t="s">
        <v>433</v>
      </c>
      <c r="T74">
        <f t="shared" si="4"/>
        <v>836010</v>
      </c>
      <c r="U74">
        <f t="shared" si="5"/>
        <v>1100</v>
      </c>
      <c r="V74">
        <f t="shared" si="6"/>
        <v>865204</v>
      </c>
      <c r="W74">
        <f t="shared" si="7"/>
        <v>29194</v>
      </c>
    </row>
    <row r="75" spans="1:23" x14ac:dyDescent="0.25">
      <c r="A75" s="204">
        <v>7203454549</v>
      </c>
      <c r="B75" s="204">
        <v>7203415042</v>
      </c>
      <c r="C75" s="126" t="s">
        <v>96</v>
      </c>
      <c r="D75" s="5">
        <v>6234000600</v>
      </c>
      <c r="E75" s="156">
        <v>44613</v>
      </c>
      <c r="F75" s="155">
        <v>27100</v>
      </c>
      <c r="G75" s="5" t="s">
        <v>421</v>
      </c>
      <c r="H75" s="204">
        <v>5506225174</v>
      </c>
      <c r="I75" s="34">
        <v>4400</v>
      </c>
      <c r="J75" s="35">
        <v>26.5</v>
      </c>
      <c r="K75" s="3" t="s">
        <v>98</v>
      </c>
      <c r="L75" s="3" t="s">
        <v>157</v>
      </c>
      <c r="M75" s="21" t="s">
        <v>133</v>
      </c>
      <c r="N75" s="21" t="s">
        <v>138</v>
      </c>
      <c r="O75" s="38">
        <v>32600</v>
      </c>
      <c r="P75" s="6"/>
      <c r="Q75" s="36">
        <v>26.5</v>
      </c>
      <c r="R75" s="37">
        <v>26.5</v>
      </c>
      <c r="S75" t="s">
        <v>433</v>
      </c>
      <c r="T75">
        <f t="shared" si="4"/>
        <v>834750</v>
      </c>
      <c r="U75">
        <f t="shared" si="5"/>
        <v>1100</v>
      </c>
      <c r="V75">
        <f t="shared" si="6"/>
        <v>863900</v>
      </c>
      <c r="W75">
        <f t="shared" si="7"/>
        <v>29150</v>
      </c>
    </row>
    <row r="76" spans="1:23" x14ac:dyDescent="0.25">
      <c r="A76" s="204">
        <v>7203454549</v>
      </c>
      <c r="B76" s="204">
        <v>7203415042</v>
      </c>
      <c r="C76" s="126" t="s">
        <v>96</v>
      </c>
      <c r="D76" s="5">
        <v>6234000600</v>
      </c>
      <c r="E76" s="156">
        <v>44613</v>
      </c>
      <c r="F76" s="155">
        <v>27100</v>
      </c>
      <c r="G76" s="5" t="s">
        <v>421</v>
      </c>
      <c r="H76" s="204">
        <v>5506225174</v>
      </c>
      <c r="I76" s="34">
        <v>4400</v>
      </c>
      <c r="J76" s="35">
        <v>26.28</v>
      </c>
      <c r="K76" s="3" t="s">
        <v>104</v>
      </c>
      <c r="L76" s="3" t="s">
        <v>163</v>
      </c>
      <c r="M76" s="21" t="s">
        <v>134</v>
      </c>
      <c r="N76" s="21" t="s">
        <v>144</v>
      </c>
      <c r="O76" s="38">
        <v>32600</v>
      </c>
      <c r="P76" s="6"/>
      <c r="Q76" s="36">
        <v>26.28</v>
      </c>
      <c r="R76" s="37">
        <v>26.28</v>
      </c>
      <c r="S76" t="s">
        <v>433</v>
      </c>
      <c r="T76">
        <f t="shared" si="4"/>
        <v>827820</v>
      </c>
      <c r="U76">
        <f t="shared" si="5"/>
        <v>1100</v>
      </c>
      <c r="V76">
        <f t="shared" si="6"/>
        <v>856728</v>
      </c>
      <c r="W76">
        <f t="shared" si="7"/>
        <v>28908</v>
      </c>
    </row>
    <row r="77" spans="1:23" x14ac:dyDescent="0.25">
      <c r="A77" s="204">
        <v>7203454549</v>
      </c>
      <c r="B77" s="204">
        <v>7203415042</v>
      </c>
      <c r="C77" s="126" t="s">
        <v>96</v>
      </c>
      <c r="D77" s="5">
        <v>6234000600</v>
      </c>
      <c r="E77" s="156">
        <v>44613</v>
      </c>
      <c r="F77" s="155">
        <v>27100</v>
      </c>
      <c r="G77" s="5" t="s">
        <v>421</v>
      </c>
      <c r="H77" s="204">
        <v>5503182532</v>
      </c>
      <c r="I77" s="34">
        <v>4400</v>
      </c>
      <c r="J77" s="35">
        <v>26.52</v>
      </c>
      <c r="K77" s="3" t="s">
        <v>2</v>
      </c>
      <c r="L77" s="3" t="s">
        <v>82</v>
      </c>
      <c r="M77" s="21" t="s">
        <v>46</v>
      </c>
      <c r="N77" s="21" t="s">
        <v>52</v>
      </c>
      <c r="O77" s="38">
        <v>32600</v>
      </c>
      <c r="P77" s="6"/>
      <c r="Q77" s="36">
        <v>26.52</v>
      </c>
      <c r="R77" s="37">
        <v>26.52</v>
      </c>
      <c r="S77" t="s">
        <v>433</v>
      </c>
      <c r="T77">
        <f t="shared" si="4"/>
        <v>835380</v>
      </c>
      <c r="U77">
        <f t="shared" si="5"/>
        <v>1100</v>
      </c>
      <c r="V77">
        <f t="shared" si="6"/>
        <v>864552</v>
      </c>
      <c r="W77">
        <f t="shared" si="7"/>
        <v>29172</v>
      </c>
    </row>
    <row r="78" spans="1:23" x14ac:dyDescent="0.25">
      <c r="A78" s="204">
        <v>7203454549</v>
      </c>
      <c r="B78" s="204">
        <v>7203415042</v>
      </c>
      <c r="C78" s="126" t="s">
        <v>96</v>
      </c>
      <c r="D78" s="5">
        <v>6234000600</v>
      </c>
      <c r="E78" s="156">
        <v>44614</v>
      </c>
      <c r="F78" s="155">
        <v>27100</v>
      </c>
      <c r="G78" s="5" t="s">
        <v>421</v>
      </c>
      <c r="H78" s="204">
        <v>5501208190</v>
      </c>
      <c r="I78" s="34">
        <v>4400</v>
      </c>
      <c r="J78" s="35">
        <v>26.64</v>
      </c>
      <c r="K78" s="3" t="s">
        <v>105</v>
      </c>
      <c r="L78" s="3" t="s">
        <v>164</v>
      </c>
      <c r="M78" s="21" t="s">
        <v>47</v>
      </c>
      <c r="N78" s="21" t="s">
        <v>68</v>
      </c>
      <c r="O78" s="38">
        <v>32600</v>
      </c>
      <c r="P78" s="6"/>
      <c r="Q78" s="36">
        <v>26.64</v>
      </c>
      <c r="R78" s="37">
        <v>26.64</v>
      </c>
      <c r="S78" t="s">
        <v>433</v>
      </c>
      <c r="T78">
        <f t="shared" si="4"/>
        <v>839160</v>
      </c>
      <c r="U78">
        <f t="shared" si="5"/>
        <v>1100</v>
      </c>
      <c r="V78">
        <f t="shared" si="6"/>
        <v>868464</v>
      </c>
      <c r="W78">
        <f t="shared" si="7"/>
        <v>29304</v>
      </c>
    </row>
    <row r="79" spans="1:23" x14ac:dyDescent="0.25">
      <c r="A79" s="204">
        <v>7203454549</v>
      </c>
      <c r="B79" s="204">
        <v>7203415042</v>
      </c>
      <c r="C79" s="126" t="s">
        <v>96</v>
      </c>
      <c r="D79" s="5">
        <v>6234000600</v>
      </c>
      <c r="E79" s="156">
        <v>44614</v>
      </c>
      <c r="F79" s="155">
        <v>27100</v>
      </c>
      <c r="G79" s="5" t="s">
        <v>421</v>
      </c>
      <c r="H79" s="204">
        <v>5506225174</v>
      </c>
      <c r="I79" s="34">
        <v>4400</v>
      </c>
      <c r="J79" s="35">
        <v>26.92</v>
      </c>
      <c r="K79" s="3" t="s">
        <v>106</v>
      </c>
      <c r="L79" s="3" t="s">
        <v>165</v>
      </c>
      <c r="M79" s="21" t="s">
        <v>135</v>
      </c>
      <c r="N79" s="21" t="s">
        <v>145</v>
      </c>
      <c r="O79" s="38">
        <v>32600</v>
      </c>
      <c r="P79" s="6"/>
      <c r="Q79" s="36">
        <v>26.92</v>
      </c>
      <c r="R79" s="37">
        <v>26.92</v>
      </c>
      <c r="S79" t="s">
        <v>433</v>
      </c>
      <c r="T79">
        <f t="shared" si="4"/>
        <v>847980</v>
      </c>
      <c r="U79">
        <f t="shared" si="5"/>
        <v>1100</v>
      </c>
      <c r="V79">
        <f t="shared" si="6"/>
        <v>877592</v>
      </c>
      <c r="W79">
        <f t="shared" si="7"/>
        <v>29612</v>
      </c>
    </row>
    <row r="80" spans="1:23" x14ac:dyDescent="0.25">
      <c r="A80" s="204">
        <v>7203454549</v>
      </c>
      <c r="B80" s="204">
        <v>7203415042</v>
      </c>
      <c r="C80" s="126" t="s">
        <v>96</v>
      </c>
      <c r="D80" s="5">
        <v>6234000600</v>
      </c>
      <c r="E80" s="156">
        <v>44614</v>
      </c>
      <c r="F80" s="155">
        <v>27100</v>
      </c>
      <c r="G80" s="5" t="s">
        <v>421</v>
      </c>
      <c r="H80" s="204">
        <v>5507259666</v>
      </c>
      <c r="I80" s="34">
        <v>4400</v>
      </c>
      <c r="J80" s="35">
        <v>26.08</v>
      </c>
      <c r="K80" s="3" t="s">
        <v>107</v>
      </c>
      <c r="L80" s="3" t="s">
        <v>166</v>
      </c>
      <c r="M80" s="21" t="s">
        <v>47</v>
      </c>
      <c r="N80" s="21" t="s">
        <v>146</v>
      </c>
      <c r="O80" s="38">
        <v>32600</v>
      </c>
      <c r="P80" s="6"/>
      <c r="Q80" s="36">
        <v>26.08</v>
      </c>
      <c r="R80" s="37">
        <v>26.08</v>
      </c>
      <c r="S80" t="s">
        <v>433</v>
      </c>
      <c r="T80">
        <f t="shared" si="4"/>
        <v>821520</v>
      </c>
      <c r="U80">
        <f t="shared" si="5"/>
        <v>1100</v>
      </c>
      <c r="V80">
        <f t="shared" si="6"/>
        <v>850208</v>
      </c>
      <c r="W80">
        <f t="shared" si="7"/>
        <v>28688</v>
      </c>
    </row>
    <row r="81" spans="1:23" x14ac:dyDescent="0.25">
      <c r="A81" s="204">
        <v>7203454549</v>
      </c>
      <c r="B81" s="204">
        <v>7203415042</v>
      </c>
      <c r="C81" s="126" t="s">
        <v>96</v>
      </c>
      <c r="D81" s="5">
        <v>6234000600</v>
      </c>
      <c r="E81" s="156">
        <v>44615</v>
      </c>
      <c r="F81" s="155">
        <v>27500</v>
      </c>
      <c r="G81" s="5" t="s">
        <v>421</v>
      </c>
      <c r="H81" s="204">
        <v>5507259666</v>
      </c>
      <c r="I81" s="34">
        <v>4400</v>
      </c>
      <c r="J81" s="35">
        <v>26.24</v>
      </c>
      <c r="K81" s="3" t="s">
        <v>108</v>
      </c>
      <c r="L81" s="3" t="s">
        <v>167</v>
      </c>
      <c r="M81" s="21" t="s">
        <v>47</v>
      </c>
      <c r="N81" s="21" t="s">
        <v>147</v>
      </c>
      <c r="O81" s="38">
        <v>32600</v>
      </c>
      <c r="P81" s="6"/>
      <c r="Q81" s="36">
        <v>26.24</v>
      </c>
      <c r="R81" s="37">
        <v>26.24</v>
      </c>
      <c r="S81" t="s">
        <v>433</v>
      </c>
      <c r="T81">
        <f t="shared" si="4"/>
        <v>837056</v>
      </c>
      <c r="U81">
        <f t="shared" si="5"/>
        <v>700</v>
      </c>
      <c r="V81">
        <f t="shared" si="6"/>
        <v>855424</v>
      </c>
      <c r="W81">
        <f t="shared" si="7"/>
        <v>18368</v>
      </c>
    </row>
    <row r="82" spans="1:23" x14ac:dyDescent="0.25">
      <c r="A82" s="204">
        <v>7203454549</v>
      </c>
      <c r="B82" s="204">
        <v>7203415042</v>
      </c>
      <c r="C82" s="126" t="s">
        <v>96</v>
      </c>
      <c r="D82" s="5">
        <v>6234000600</v>
      </c>
      <c r="E82" s="156">
        <v>44615</v>
      </c>
      <c r="F82" s="155">
        <v>27500</v>
      </c>
      <c r="G82" s="5" t="s">
        <v>421</v>
      </c>
      <c r="H82" s="204">
        <v>5501208190</v>
      </c>
      <c r="I82" s="34">
        <v>4400</v>
      </c>
      <c r="J82" s="35">
        <v>26.58</v>
      </c>
      <c r="K82" s="3" t="s">
        <v>101</v>
      </c>
      <c r="L82" s="3" t="s">
        <v>159</v>
      </c>
      <c r="M82" s="21" t="s">
        <v>49</v>
      </c>
      <c r="N82" s="21" t="s">
        <v>140</v>
      </c>
      <c r="O82" s="38">
        <v>32600</v>
      </c>
      <c r="P82" s="6"/>
      <c r="Q82" s="36">
        <v>26.58</v>
      </c>
      <c r="R82" s="37">
        <v>26.58</v>
      </c>
      <c r="S82" t="s">
        <v>433</v>
      </c>
      <c r="T82">
        <f t="shared" si="4"/>
        <v>847902</v>
      </c>
      <c r="U82">
        <f t="shared" si="5"/>
        <v>700</v>
      </c>
      <c r="V82">
        <f t="shared" si="6"/>
        <v>866508</v>
      </c>
      <c r="W82">
        <f t="shared" si="7"/>
        <v>18606</v>
      </c>
    </row>
    <row r="83" spans="1:23" x14ac:dyDescent="0.25">
      <c r="A83" s="204">
        <v>7203454549</v>
      </c>
      <c r="B83" s="204">
        <v>7203415042</v>
      </c>
      <c r="C83" s="126" t="s">
        <v>96</v>
      </c>
      <c r="D83" s="5">
        <v>6234000600</v>
      </c>
      <c r="E83" s="156">
        <v>44615</v>
      </c>
      <c r="F83" s="155">
        <v>27500</v>
      </c>
      <c r="G83" s="5" t="s">
        <v>421</v>
      </c>
      <c r="H83" s="204">
        <v>5501208190</v>
      </c>
      <c r="I83" s="34">
        <v>4400</v>
      </c>
      <c r="J83" s="35">
        <v>26.42</v>
      </c>
      <c r="K83" s="3" t="s">
        <v>3</v>
      </c>
      <c r="L83" s="3" t="s">
        <v>83</v>
      </c>
      <c r="M83" s="21" t="s">
        <v>47</v>
      </c>
      <c r="N83" s="21" t="s">
        <v>53</v>
      </c>
      <c r="O83" s="38">
        <v>32600</v>
      </c>
      <c r="P83" s="6"/>
      <c r="Q83" s="36">
        <v>26.42</v>
      </c>
      <c r="R83" s="37">
        <v>26.42</v>
      </c>
      <c r="S83" t="s">
        <v>433</v>
      </c>
      <c r="T83">
        <f t="shared" si="4"/>
        <v>842798</v>
      </c>
      <c r="U83">
        <f t="shared" si="5"/>
        <v>700</v>
      </c>
      <c r="V83">
        <f t="shared" si="6"/>
        <v>861292</v>
      </c>
      <c r="W83">
        <f t="shared" si="7"/>
        <v>18494</v>
      </c>
    </row>
    <row r="84" spans="1:23" x14ac:dyDescent="0.25">
      <c r="A84" s="204">
        <v>7203454549</v>
      </c>
      <c r="B84" s="204">
        <v>7203415042</v>
      </c>
      <c r="C84" s="126" t="s">
        <v>96</v>
      </c>
      <c r="D84" s="5">
        <v>6234000600</v>
      </c>
      <c r="E84" s="156">
        <v>44615</v>
      </c>
      <c r="F84" s="155">
        <v>27500</v>
      </c>
      <c r="G84" s="5" t="s">
        <v>421</v>
      </c>
      <c r="H84" s="204">
        <v>5501208190</v>
      </c>
      <c r="I84" s="34">
        <v>4400</v>
      </c>
      <c r="J84" s="35">
        <v>26.4</v>
      </c>
      <c r="K84" s="3" t="s">
        <v>100</v>
      </c>
      <c r="L84" s="3" t="s">
        <v>84</v>
      </c>
      <c r="M84" s="21" t="s">
        <v>49</v>
      </c>
      <c r="N84" s="21" t="s">
        <v>55</v>
      </c>
      <c r="O84" s="38">
        <v>32600</v>
      </c>
      <c r="P84" s="6"/>
      <c r="Q84" s="36">
        <v>26.4</v>
      </c>
      <c r="R84" s="37">
        <v>26.4</v>
      </c>
      <c r="S84" t="s">
        <v>433</v>
      </c>
      <c r="T84">
        <f t="shared" si="4"/>
        <v>842160</v>
      </c>
      <c r="U84">
        <f t="shared" si="5"/>
        <v>700</v>
      </c>
      <c r="V84">
        <f t="shared" si="6"/>
        <v>860640</v>
      </c>
      <c r="W84">
        <f t="shared" si="7"/>
        <v>18480</v>
      </c>
    </row>
    <row r="85" spans="1:23" x14ac:dyDescent="0.25">
      <c r="A85" s="204">
        <v>7203454549</v>
      </c>
      <c r="B85" s="204">
        <v>7203415042</v>
      </c>
      <c r="C85" s="126" t="s">
        <v>96</v>
      </c>
      <c r="D85" s="5">
        <v>6234000600</v>
      </c>
      <c r="E85" s="156">
        <v>44616</v>
      </c>
      <c r="F85" s="155">
        <v>27500</v>
      </c>
      <c r="G85" s="5" t="s">
        <v>421</v>
      </c>
      <c r="H85" s="204">
        <v>5507259666</v>
      </c>
      <c r="I85" s="34">
        <v>4400</v>
      </c>
      <c r="J85" s="35">
        <v>26.18</v>
      </c>
      <c r="K85" s="3" t="s">
        <v>109</v>
      </c>
      <c r="L85" s="3" t="s">
        <v>168</v>
      </c>
      <c r="M85" s="21" t="s">
        <v>48</v>
      </c>
      <c r="N85" s="21" t="s">
        <v>148</v>
      </c>
      <c r="O85" s="38">
        <v>32600</v>
      </c>
      <c r="P85" s="6"/>
      <c r="Q85" s="36">
        <v>26.18</v>
      </c>
      <c r="R85" s="37">
        <v>26.18</v>
      </c>
      <c r="S85" t="s">
        <v>433</v>
      </c>
      <c r="T85">
        <f t="shared" si="4"/>
        <v>835142</v>
      </c>
      <c r="U85">
        <f t="shared" si="5"/>
        <v>700</v>
      </c>
      <c r="V85">
        <f t="shared" si="6"/>
        <v>853468</v>
      </c>
      <c r="W85">
        <f t="shared" si="7"/>
        <v>18326</v>
      </c>
    </row>
    <row r="86" spans="1:23" x14ac:dyDescent="0.25">
      <c r="A86" s="204">
        <v>7203454549</v>
      </c>
      <c r="B86" s="204">
        <v>7203415042</v>
      </c>
      <c r="C86" s="126" t="s">
        <v>96</v>
      </c>
      <c r="D86" s="5">
        <v>6234000600</v>
      </c>
      <c r="E86" s="156">
        <v>44616</v>
      </c>
      <c r="F86" s="155">
        <v>27500</v>
      </c>
      <c r="G86" s="5" t="s">
        <v>421</v>
      </c>
      <c r="H86" s="204">
        <v>5503182532</v>
      </c>
      <c r="I86" s="34">
        <v>4400</v>
      </c>
      <c r="J86" s="35">
        <v>26.08</v>
      </c>
      <c r="K86" s="3" t="s">
        <v>97</v>
      </c>
      <c r="L86" s="3" t="s">
        <v>156</v>
      </c>
      <c r="M86" s="21" t="s">
        <v>46</v>
      </c>
      <c r="N86" s="21" t="s">
        <v>137</v>
      </c>
      <c r="O86" s="38">
        <v>32600</v>
      </c>
      <c r="P86" s="6"/>
      <c r="Q86" s="36">
        <v>26.08</v>
      </c>
      <c r="R86" s="37">
        <v>26.08</v>
      </c>
      <c r="S86" t="s">
        <v>433</v>
      </c>
      <c r="T86">
        <f t="shared" si="4"/>
        <v>831952</v>
      </c>
      <c r="U86">
        <f t="shared" si="5"/>
        <v>700</v>
      </c>
      <c r="V86">
        <f t="shared" si="6"/>
        <v>850208</v>
      </c>
      <c r="W86">
        <f t="shared" si="7"/>
        <v>18256</v>
      </c>
    </row>
    <row r="87" spans="1:23" x14ac:dyDescent="0.25">
      <c r="A87" s="204">
        <v>7203454549</v>
      </c>
      <c r="B87" s="204">
        <v>7203415042</v>
      </c>
      <c r="C87" s="126" t="s">
        <v>96</v>
      </c>
      <c r="D87" s="5">
        <v>6234000600</v>
      </c>
      <c r="E87" s="156">
        <v>44616</v>
      </c>
      <c r="F87" s="155">
        <v>27500</v>
      </c>
      <c r="G87" s="5" t="s">
        <v>421</v>
      </c>
      <c r="H87" s="204">
        <v>5503182532</v>
      </c>
      <c r="I87" s="34">
        <v>4400</v>
      </c>
      <c r="J87" s="35">
        <v>26.18</v>
      </c>
      <c r="K87" s="3" t="s">
        <v>2</v>
      </c>
      <c r="L87" s="3" t="s">
        <v>82</v>
      </c>
      <c r="M87" s="21" t="s">
        <v>46</v>
      </c>
      <c r="N87" s="21" t="s">
        <v>52</v>
      </c>
      <c r="O87" s="38">
        <v>32600</v>
      </c>
      <c r="P87" s="6"/>
      <c r="Q87" s="36">
        <v>26.18</v>
      </c>
      <c r="R87" s="37">
        <v>26.18</v>
      </c>
      <c r="S87" t="s">
        <v>433</v>
      </c>
      <c r="T87">
        <f t="shared" si="4"/>
        <v>835142</v>
      </c>
      <c r="U87">
        <f t="shared" si="5"/>
        <v>700</v>
      </c>
      <c r="V87">
        <f t="shared" si="6"/>
        <v>853468</v>
      </c>
      <c r="W87">
        <f t="shared" si="7"/>
        <v>18326</v>
      </c>
    </row>
    <row r="88" spans="1:23" x14ac:dyDescent="0.25">
      <c r="A88" s="204">
        <v>7203454549</v>
      </c>
      <c r="B88" s="204">
        <v>7203415042</v>
      </c>
      <c r="C88" s="126" t="s">
        <v>96</v>
      </c>
      <c r="D88" s="5">
        <v>6234000600</v>
      </c>
      <c r="E88" s="156">
        <v>44616</v>
      </c>
      <c r="F88" s="155">
        <v>27500</v>
      </c>
      <c r="G88" s="5" t="s">
        <v>421</v>
      </c>
      <c r="H88" s="204">
        <v>5503182532</v>
      </c>
      <c r="I88" s="34">
        <v>4400</v>
      </c>
      <c r="J88" s="35">
        <v>25.36</v>
      </c>
      <c r="K88" s="3" t="s">
        <v>103</v>
      </c>
      <c r="L88" s="3" t="s">
        <v>161</v>
      </c>
      <c r="M88" s="21" t="s">
        <v>46</v>
      </c>
      <c r="N88" s="21" t="s">
        <v>142</v>
      </c>
      <c r="O88" s="38">
        <v>32600</v>
      </c>
      <c r="P88" s="6"/>
      <c r="Q88" s="36">
        <v>25.36</v>
      </c>
      <c r="R88" s="37">
        <v>25.36</v>
      </c>
      <c r="S88" t="s">
        <v>433</v>
      </c>
      <c r="T88">
        <f t="shared" si="4"/>
        <v>808984</v>
      </c>
      <c r="U88">
        <f t="shared" si="5"/>
        <v>700</v>
      </c>
      <c r="V88">
        <f t="shared" si="6"/>
        <v>826736</v>
      </c>
      <c r="W88">
        <f t="shared" si="7"/>
        <v>17752</v>
      </c>
    </row>
    <row r="89" spans="1:23" x14ac:dyDescent="0.25">
      <c r="A89" s="204">
        <v>7203454549</v>
      </c>
      <c r="B89" s="204">
        <v>7203415042</v>
      </c>
      <c r="C89" s="126" t="s">
        <v>96</v>
      </c>
      <c r="D89" s="5">
        <v>6234000600</v>
      </c>
      <c r="E89" s="156">
        <v>44619</v>
      </c>
      <c r="F89" s="155">
        <v>27100</v>
      </c>
      <c r="G89" s="5" t="s">
        <v>421</v>
      </c>
      <c r="H89" s="204">
        <v>5503182532</v>
      </c>
      <c r="I89" s="34">
        <v>4400</v>
      </c>
      <c r="J89" s="35">
        <v>26.4</v>
      </c>
      <c r="K89" s="3" t="s">
        <v>2</v>
      </c>
      <c r="L89" s="3" t="s">
        <v>82</v>
      </c>
      <c r="M89" s="21" t="s">
        <v>46</v>
      </c>
      <c r="N89" s="21" t="s">
        <v>52</v>
      </c>
      <c r="O89" s="38">
        <v>32600</v>
      </c>
      <c r="P89" s="6"/>
      <c r="Q89" s="36">
        <v>26.4</v>
      </c>
      <c r="R89" s="37">
        <v>26.4</v>
      </c>
      <c r="S89" t="s">
        <v>433</v>
      </c>
      <c r="T89">
        <f t="shared" si="4"/>
        <v>831600</v>
      </c>
      <c r="U89">
        <f t="shared" si="5"/>
        <v>1100</v>
      </c>
      <c r="V89">
        <f t="shared" si="6"/>
        <v>860640</v>
      </c>
      <c r="W89">
        <f t="shared" si="7"/>
        <v>29040</v>
      </c>
    </row>
    <row r="90" spans="1:23" x14ac:dyDescent="0.25">
      <c r="A90" s="204">
        <v>7203454549</v>
      </c>
      <c r="B90" s="204">
        <v>7203415042</v>
      </c>
      <c r="C90" s="126" t="s">
        <v>96</v>
      </c>
      <c r="D90" s="5">
        <v>6234000600</v>
      </c>
      <c r="E90" s="156">
        <v>44619</v>
      </c>
      <c r="F90" s="155">
        <v>27100</v>
      </c>
      <c r="G90" s="5" t="s">
        <v>421</v>
      </c>
      <c r="H90" s="204">
        <v>5503182532</v>
      </c>
      <c r="I90" s="34">
        <v>4400</v>
      </c>
      <c r="J90" s="35">
        <v>26.02</v>
      </c>
      <c r="K90" s="3" t="s">
        <v>97</v>
      </c>
      <c r="L90" s="3" t="s">
        <v>156</v>
      </c>
      <c r="M90" s="21" t="s">
        <v>46</v>
      </c>
      <c r="N90" s="21" t="s">
        <v>137</v>
      </c>
      <c r="O90" s="38">
        <v>32600</v>
      </c>
      <c r="P90" s="6"/>
      <c r="Q90" s="36">
        <v>26.02</v>
      </c>
      <c r="R90" s="37">
        <v>26.02</v>
      </c>
      <c r="S90" t="s">
        <v>433</v>
      </c>
      <c r="T90">
        <f t="shared" si="4"/>
        <v>819630</v>
      </c>
      <c r="U90">
        <f t="shared" si="5"/>
        <v>1100</v>
      </c>
      <c r="V90">
        <f t="shared" si="6"/>
        <v>848252</v>
      </c>
      <c r="W90">
        <f t="shared" si="7"/>
        <v>28622</v>
      </c>
    </row>
    <row r="91" spans="1:23" x14ac:dyDescent="0.25">
      <c r="A91" s="204">
        <v>7203454549</v>
      </c>
      <c r="B91" s="204">
        <v>7203415042</v>
      </c>
      <c r="C91" s="126" t="s">
        <v>96</v>
      </c>
      <c r="D91" s="5">
        <v>6234000600</v>
      </c>
      <c r="E91" s="156">
        <v>44619</v>
      </c>
      <c r="F91" s="155">
        <v>27100</v>
      </c>
      <c r="G91" s="5" t="s">
        <v>421</v>
      </c>
      <c r="H91" s="204">
        <v>5501208190</v>
      </c>
      <c r="I91" s="34">
        <v>4400</v>
      </c>
      <c r="J91" s="35">
        <v>26.44</v>
      </c>
      <c r="K91" s="3" t="s">
        <v>110</v>
      </c>
      <c r="L91" s="3" t="s">
        <v>169</v>
      </c>
      <c r="M91" s="21" t="s">
        <v>47</v>
      </c>
      <c r="N91" s="21" t="s">
        <v>149</v>
      </c>
      <c r="O91" s="38">
        <v>32600</v>
      </c>
      <c r="P91" s="6"/>
      <c r="Q91" s="36">
        <v>26.44</v>
      </c>
      <c r="R91" s="37">
        <v>26.44</v>
      </c>
      <c r="S91" t="s">
        <v>433</v>
      </c>
      <c r="T91">
        <f t="shared" si="4"/>
        <v>832860</v>
      </c>
      <c r="U91">
        <f t="shared" si="5"/>
        <v>1100</v>
      </c>
      <c r="V91">
        <f t="shared" si="6"/>
        <v>861944</v>
      </c>
      <c r="W91">
        <f t="shared" si="7"/>
        <v>29084</v>
      </c>
    </row>
    <row r="92" spans="1:23" x14ac:dyDescent="0.25">
      <c r="A92" s="204">
        <v>7203454549</v>
      </c>
      <c r="B92" s="204">
        <v>7203415042</v>
      </c>
      <c r="C92" s="126" t="s">
        <v>96</v>
      </c>
      <c r="D92" s="5">
        <v>6234000600</v>
      </c>
      <c r="E92" s="156">
        <v>44619</v>
      </c>
      <c r="F92" s="155">
        <v>27500</v>
      </c>
      <c r="G92" s="5" t="s">
        <v>421</v>
      </c>
      <c r="H92" s="204">
        <v>5503182532</v>
      </c>
      <c r="I92" s="34">
        <v>4400</v>
      </c>
      <c r="J92" s="35">
        <v>25.96</v>
      </c>
      <c r="K92" s="3" t="s">
        <v>103</v>
      </c>
      <c r="L92" s="3" t="s">
        <v>161</v>
      </c>
      <c r="M92" s="21" t="s">
        <v>46</v>
      </c>
      <c r="N92" s="21" t="s">
        <v>142</v>
      </c>
      <c r="O92" s="38">
        <v>32600</v>
      </c>
      <c r="P92" s="6"/>
      <c r="Q92" s="36">
        <v>25.96</v>
      </c>
      <c r="R92" s="37">
        <v>25.96</v>
      </c>
      <c r="S92" t="s">
        <v>433</v>
      </c>
      <c r="T92">
        <f t="shared" si="4"/>
        <v>828124</v>
      </c>
      <c r="U92">
        <f t="shared" si="5"/>
        <v>700</v>
      </c>
      <c r="V92">
        <f t="shared" si="6"/>
        <v>846296</v>
      </c>
      <c r="W92">
        <f t="shared" si="7"/>
        <v>18172</v>
      </c>
    </row>
    <row r="93" spans="1:23" x14ac:dyDescent="0.25">
      <c r="A93" s="204">
        <v>7203454549</v>
      </c>
      <c r="B93" s="204">
        <v>7203415042</v>
      </c>
      <c r="C93" s="126" t="s">
        <v>96</v>
      </c>
      <c r="D93" s="5">
        <v>6234000600</v>
      </c>
      <c r="E93" s="156">
        <v>44619</v>
      </c>
      <c r="F93" s="155">
        <v>27500</v>
      </c>
      <c r="G93" s="5" t="s">
        <v>421</v>
      </c>
      <c r="H93" s="204">
        <v>5501208190</v>
      </c>
      <c r="I93" s="34">
        <v>4400</v>
      </c>
      <c r="J93" s="35">
        <v>26.42</v>
      </c>
      <c r="K93" s="3" t="s">
        <v>101</v>
      </c>
      <c r="L93" s="3" t="s">
        <v>159</v>
      </c>
      <c r="M93" s="21" t="s">
        <v>49</v>
      </c>
      <c r="N93" s="21" t="s">
        <v>140</v>
      </c>
      <c r="O93" s="38">
        <v>32600</v>
      </c>
      <c r="P93" s="6"/>
      <c r="Q93" s="36">
        <v>26.42</v>
      </c>
      <c r="R93" s="37">
        <v>26.42</v>
      </c>
      <c r="S93" t="s">
        <v>433</v>
      </c>
      <c r="T93">
        <f t="shared" si="4"/>
        <v>842798</v>
      </c>
      <c r="U93">
        <f t="shared" si="5"/>
        <v>700</v>
      </c>
      <c r="V93">
        <f t="shared" si="6"/>
        <v>861292</v>
      </c>
      <c r="W93">
        <f t="shared" si="7"/>
        <v>18494</v>
      </c>
    </row>
    <row r="94" spans="1:23" x14ac:dyDescent="0.25">
      <c r="A94" s="204">
        <v>7203454549</v>
      </c>
      <c r="B94" s="204">
        <v>7203415042</v>
      </c>
      <c r="C94" s="126" t="s">
        <v>96</v>
      </c>
      <c r="D94" s="5">
        <v>6234000600</v>
      </c>
      <c r="E94" s="156">
        <v>44619</v>
      </c>
      <c r="F94" s="155">
        <v>27500</v>
      </c>
      <c r="G94" s="5" t="s">
        <v>421</v>
      </c>
      <c r="H94" s="204">
        <v>5501208190</v>
      </c>
      <c r="I94" s="34">
        <v>4400</v>
      </c>
      <c r="J94" s="35">
        <v>26.64</v>
      </c>
      <c r="K94" s="3" t="s">
        <v>111</v>
      </c>
      <c r="L94" s="3" t="s">
        <v>170</v>
      </c>
      <c r="M94" s="21" t="s">
        <v>49</v>
      </c>
      <c r="N94" s="21" t="s">
        <v>150</v>
      </c>
      <c r="O94" s="38">
        <v>32600</v>
      </c>
      <c r="P94" s="6"/>
      <c r="Q94" s="36">
        <v>26.64</v>
      </c>
      <c r="R94" s="37">
        <v>26.64</v>
      </c>
      <c r="S94" t="s">
        <v>433</v>
      </c>
      <c r="T94">
        <f t="shared" si="4"/>
        <v>849816</v>
      </c>
      <c r="U94">
        <f t="shared" si="5"/>
        <v>700</v>
      </c>
      <c r="V94">
        <f t="shared" si="6"/>
        <v>868464</v>
      </c>
      <c r="W94">
        <f t="shared" si="7"/>
        <v>18648</v>
      </c>
    </row>
    <row r="95" spans="1:23" x14ac:dyDescent="0.25">
      <c r="A95" s="204">
        <v>7203454549</v>
      </c>
      <c r="B95" s="204">
        <v>7203415042</v>
      </c>
      <c r="C95" s="126" t="s">
        <v>96</v>
      </c>
      <c r="D95" s="5">
        <v>6234000600</v>
      </c>
      <c r="E95" s="156">
        <v>44619</v>
      </c>
      <c r="F95" s="155">
        <v>27500</v>
      </c>
      <c r="G95" s="5" t="s">
        <v>421</v>
      </c>
      <c r="H95" s="204">
        <v>5501208190</v>
      </c>
      <c r="I95" s="34">
        <v>4400</v>
      </c>
      <c r="J95" s="35">
        <v>26.34</v>
      </c>
      <c r="K95" s="3" t="s">
        <v>112</v>
      </c>
      <c r="L95" s="3" t="s">
        <v>84</v>
      </c>
      <c r="M95" s="21" t="s">
        <v>49</v>
      </c>
      <c r="N95" s="21" t="s">
        <v>55</v>
      </c>
      <c r="O95" s="38">
        <v>32600</v>
      </c>
      <c r="P95" s="6"/>
      <c r="Q95" s="36">
        <v>26.34</v>
      </c>
      <c r="R95" s="37">
        <v>26.34</v>
      </c>
      <c r="S95" t="s">
        <v>433</v>
      </c>
      <c r="T95">
        <f t="shared" si="4"/>
        <v>840246</v>
      </c>
      <c r="U95">
        <f t="shared" si="5"/>
        <v>700</v>
      </c>
      <c r="V95">
        <f t="shared" si="6"/>
        <v>858684</v>
      </c>
      <c r="W95">
        <f t="shared" si="7"/>
        <v>18438</v>
      </c>
    </row>
    <row r="96" spans="1:23" x14ac:dyDescent="0.25">
      <c r="A96" s="204">
        <v>7203454549</v>
      </c>
      <c r="B96" s="204">
        <v>7203415042</v>
      </c>
      <c r="C96" s="126" t="s">
        <v>96</v>
      </c>
      <c r="D96" s="5">
        <v>6234000600</v>
      </c>
      <c r="E96" s="156">
        <v>44620</v>
      </c>
      <c r="F96" s="155">
        <v>27100</v>
      </c>
      <c r="G96" s="5" t="s">
        <v>421</v>
      </c>
      <c r="H96" s="204">
        <v>5506225174</v>
      </c>
      <c r="I96" s="34">
        <v>4400</v>
      </c>
      <c r="J96" s="35">
        <v>26.82</v>
      </c>
      <c r="K96" s="3" t="s">
        <v>99</v>
      </c>
      <c r="L96" s="3" t="s">
        <v>158</v>
      </c>
      <c r="M96" s="21" t="s">
        <v>47</v>
      </c>
      <c r="N96" s="21" t="s">
        <v>139</v>
      </c>
      <c r="O96" s="38">
        <v>32600</v>
      </c>
      <c r="P96" s="6"/>
      <c r="Q96" s="36">
        <v>26.82</v>
      </c>
      <c r="R96" s="37">
        <v>26.82</v>
      </c>
      <c r="S96" t="s">
        <v>433</v>
      </c>
      <c r="T96">
        <f t="shared" si="4"/>
        <v>844830</v>
      </c>
      <c r="U96">
        <f t="shared" si="5"/>
        <v>1100</v>
      </c>
      <c r="V96">
        <f t="shared" si="6"/>
        <v>874332</v>
      </c>
      <c r="W96">
        <f t="shared" si="7"/>
        <v>29502</v>
      </c>
    </row>
    <row r="97" spans="1:23" x14ac:dyDescent="0.25">
      <c r="A97" s="204">
        <v>7203454549</v>
      </c>
      <c r="B97" s="204">
        <v>7203415042</v>
      </c>
      <c r="C97" s="126" t="s">
        <v>96</v>
      </c>
      <c r="D97" s="5">
        <v>6234000600</v>
      </c>
      <c r="E97" s="156">
        <v>44620</v>
      </c>
      <c r="F97" s="155">
        <v>27100</v>
      </c>
      <c r="G97" s="5" t="s">
        <v>421</v>
      </c>
      <c r="H97" s="204">
        <v>5501208190</v>
      </c>
      <c r="I97" s="34">
        <v>4400</v>
      </c>
      <c r="J97" s="35">
        <v>26.64</v>
      </c>
      <c r="K97" s="3" t="s">
        <v>3</v>
      </c>
      <c r="L97" s="3" t="s">
        <v>83</v>
      </c>
      <c r="M97" s="21" t="s">
        <v>47</v>
      </c>
      <c r="N97" s="21" t="s">
        <v>53</v>
      </c>
      <c r="O97" s="38">
        <v>32600</v>
      </c>
      <c r="P97" s="6"/>
      <c r="Q97" s="36">
        <v>26.64</v>
      </c>
      <c r="R97" s="37">
        <v>26.64</v>
      </c>
      <c r="S97" t="s">
        <v>433</v>
      </c>
      <c r="T97">
        <f t="shared" si="4"/>
        <v>839160</v>
      </c>
      <c r="U97">
        <f t="shared" si="5"/>
        <v>1100</v>
      </c>
      <c r="V97">
        <f t="shared" si="6"/>
        <v>868464</v>
      </c>
      <c r="W97">
        <f t="shared" si="7"/>
        <v>29304</v>
      </c>
    </row>
    <row r="98" spans="1:23" x14ac:dyDescent="0.25">
      <c r="A98" s="204">
        <v>7203454549</v>
      </c>
      <c r="B98" s="204">
        <v>7203415042</v>
      </c>
      <c r="C98" s="126" t="s">
        <v>96</v>
      </c>
      <c r="D98" s="5">
        <v>6234000600</v>
      </c>
      <c r="E98" s="156">
        <v>44620</v>
      </c>
      <c r="F98" s="155">
        <v>27100</v>
      </c>
      <c r="G98" s="5" t="s">
        <v>421</v>
      </c>
      <c r="H98" s="204">
        <v>5501208190</v>
      </c>
      <c r="I98" s="34">
        <v>4400</v>
      </c>
      <c r="J98" s="35">
        <v>26.44</v>
      </c>
      <c r="K98" s="3" t="s">
        <v>105</v>
      </c>
      <c r="L98" s="3" t="s">
        <v>164</v>
      </c>
      <c r="M98" s="21" t="s">
        <v>47</v>
      </c>
      <c r="N98" s="21" t="s">
        <v>68</v>
      </c>
      <c r="O98" s="38">
        <v>32600</v>
      </c>
      <c r="P98" s="6"/>
      <c r="Q98" s="36">
        <v>26.44</v>
      </c>
      <c r="R98" s="37">
        <v>26.44</v>
      </c>
      <c r="S98" t="s">
        <v>433</v>
      </c>
      <c r="T98">
        <f t="shared" si="4"/>
        <v>832860</v>
      </c>
      <c r="U98">
        <f t="shared" si="5"/>
        <v>1100</v>
      </c>
      <c r="V98">
        <f t="shared" si="6"/>
        <v>861944</v>
      </c>
      <c r="W98">
        <f t="shared" si="7"/>
        <v>29084</v>
      </c>
    </row>
    <row r="99" spans="1:23" x14ac:dyDescent="0.25">
      <c r="A99" s="204">
        <v>7203454549</v>
      </c>
      <c r="B99" s="204">
        <v>7203415042</v>
      </c>
      <c r="C99" s="126" t="s">
        <v>96</v>
      </c>
      <c r="D99" s="5">
        <v>6234000600</v>
      </c>
      <c r="E99" s="156">
        <v>44622</v>
      </c>
      <c r="F99" s="155">
        <v>27100</v>
      </c>
      <c r="G99" s="5" t="s">
        <v>421</v>
      </c>
      <c r="H99" s="204">
        <v>5501132737</v>
      </c>
      <c r="I99" s="34">
        <v>4400</v>
      </c>
      <c r="J99" s="35">
        <v>25.52</v>
      </c>
      <c r="K99" s="3" t="s">
        <v>113</v>
      </c>
      <c r="L99" s="3" t="s">
        <v>171</v>
      </c>
      <c r="M99" s="21" t="s">
        <v>50</v>
      </c>
      <c r="N99" s="21" t="s">
        <v>151</v>
      </c>
      <c r="O99" s="38">
        <v>32600</v>
      </c>
      <c r="P99" s="6"/>
      <c r="Q99" s="36">
        <v>25.52</v>
      </c>
      <c r="R99" s="37">
        <v>25.52</v>
      </c>
      <c r="S99" t="s">
        <v>433</v>
      </c>
      <c r="T99">
        <f t="shared" si="4"/>
        <v>803880</v>
      </c>
      <c r="U99">
        <f t="shared" si="5"/>
        <v>1100</v>
      </c>
      <c r="V99">
        <f t="shared" si="6"/>
        <v>831952</v>
      </c>
      <c r="W99">
        <f t="shared" si="7"/>
        <v>28072</v>
      </c>
    </row>
    <row r="100" spans="1:23" x14ac:dyDescent="0.25">
      <c r="A100" s="204">
        <v>7203454549</v>
      </c>
      <c r="B100" s="204">
        <v>7203415042</v>
      </c>
      <c r="C100" s="126" t="s">
        <v>96</v>
      </c>
      <c r="D100" s="5">
        <v>6234000600</v>
      </c>
      <c r="E100" s="156">
        <v>44622</v>
      </c>
      <c r="F100" s="155">
        <v>27100</v>
      </c>
      <c r="G100" s="5" t="s">
        <v>421</v>
      </c>
      <c r="H100" s="204">
        <v>5501132737</v>
      </c>
      <c r="I100" s="34">
        <v>4400</v>
      </c>
      <c r="J100" s="35">
        <v>25.44</v>
      </c>
      <c r="K100" s="3" t="s">
        <v>114</v>
      </c>
      <c r="L100" s="3" t="s">
        <v>172</v>
      </c>
      <c r="M100" s="21" t="s">
        <v>50</v>
      </c>
      <c r="N100" s="21" t="s">
        <v>152</v>
      </c>
      <c r="O100" s="38">
        <v>32600</v>
      </c>
      <c r="P100" s="6"/>
      <c r="Q100" s="36">
        <v>25.44</v>
      </c>
      <c r="R100" s="37">
        <v>25.44</v>
      </c>
      <c r="S100" t="s">
        <v>433</v>
      </c>
      <c r="T100">
        <f t="shared" si="4"/>
        <v>801360</v>
      </c>
      <c r="U100">
        <f t="shared" si="5"/>
        <v>1100</v>
      </c>
      <c r="V100">
        <f t="shared" si="6"/>
        <v>829344</v>
      </c>
      <c r="W100">
        <f t="shared" si="7"/>
        <v>27984</v>
      </c>
    </row>
    <row r="101" spans="1:23" x14ac:dyDescent="0.25">
      <c r="A101" s="204">
        <v>7203454549</v>
      </c>
      <c r="B101" s="204">
        <v>7203415042</v>
      </c>
      <c r="C101" s="126" t="s">
        <v>96</v>
      </c>
      <c r="D101" s="5">
        <v>6234000600</v>
      </c>
      <c r="E101" s="156">
        <v>44622</v>
      </c>
      <c r="F101" s="155">
        <v>27100</v>
      </c>
      <c r="G101" s="5" t="s">
        <v>421</v>
      </c>
      <c r="H101" s="204">
        <v>5503182532</v>
      </c>
      <c r="I101" s="34">
        <v>4400</v>
      </c>
      <c r="J101" s="35">
        <v>26.14</v>
      </c>
      <c r="K101" s="3" t="s">
        <v>97</v>
      </c>
      <c r="L101" s="3" t="s">
        <v>156</v>
      </c>
      <c r="M101" s="21" t="s">
        <v>46</v>
      </c>
      <c r="N101" s="21" t="s">
        <v>137</v>
      </c>
      <c r="O101" s="38">
        <v>32600</v>
      </c>
      <c r="P101" s="6"/>
      <c r="Q101" s="36">
        <v>26.14</v>
      </c>
      <c r="R101" s="37">
        <v>26.14</v>
      </c>
      <c r="S101" t="s">
        <v>433</v>
      </c>
      <c r="T101">
        <f t="shared" si="4"/>
        <v>823410</v>
      </c>
      <c r="U101">
        <f t="shared" si="5"/>
        <v>1100</v>
      </c>
      <c r="V101">
        <f t="shared" si="6"/>
        <v>852164</v>
      </c>
      <c r="W101">
        <f t="shared" si="7"/>
        <v>28754</v>
      </c>
    </row>
    <row r="102" spans="1:23" x14ac:dyDescent="0.25">
      <c r="A102" s="204">
        <v>7203454549</v>
      </c>
      <c r="B102" s="204">
        <v>7203415042</v>
      </c>
      <c r="C102" s="126" t="s">
        <v>96</v>
      </c>
      <c r="D102" s="5">
        <v>6234000600</v>
      </c>
      <c r="E102" s="156">
        <v>44622</v>
      </c>
      <c r="F102" s="155">
        <v>27100</v>
      </c>
      <c r="G102" s="5" t="s">
        <v>421</v>
      </c>
      <c r="H102" s="204">
        <v>5503182532</v>
      </c>
      <c r="I102" s="34">
        <v>4400</v>
      </c>
      <c r="J102" s="35">
        <v>25.76</v>
      </c>
      <c r="K102" s="3" t="s">
        <v>103</v>
      </c>
      <c r="L102" s="3" t="s">
        <v>161</v>
      </c>
      <c r="M102" s="21" t="s">
        <v>46</v>
      </c>
      <c r="N102" s="21" t="s">
        <v>142</v>
      </c>
      <c r="O102" s="38">
        <v>32600</v>
      </c>
      <c r="P102" s="6"/>
      <c r="Q102" s="36">
        <v>25.76</v>
      </c>
      <c r="R102" s="37">
        <v>25.76</v>
      </c>
      <c r="S102" t="s">
        <v>433</v>
      </c>
      <c r="T102">
        <f t="shared" si="4"/>
        <v>811440</v>
      </c>
      <c r="U102">
        <f t="shared" si="5"/>
        <v>1100</v>
      </c>
      <c r="V102">
        <f t="shared" si="6"/>
        <v>839776</v>
      </c>
      <c r="W102">
        <f t="shared" si="7"/>
        <v>28336</v>
      </c>
    </row>
    <row r="103" spans="1:23" x14ac:dyDescent="0.25">
      <c r="A103" s="204">
        <v>7203454549</v>
      </c>
      <c r="B103" s="204">
        <v>7203415042</v>
      </c>
      <c r="C103" s="126" t="s">
        <v>96</v>
      </c>
      <c r="D103" s="5">
        <v>6234000600</v>
      </c>
      <c r="E103" s="156">
        <v>44622</v>
      </c>
      <c r="F103" s="155">
        <v>27100</v>
      </c>
      <c r="G103" s="5" t="s">
        <v>421</v>
      </c>
      <c r="H103" s="204">
        <v>5503182532</v>
      </c>
      <c r="I103" s="34">
        <v>4400</v>
      </c>
      <c r="J103" s="35">
        <v>26.2</v>
      </c>
      <c r="K103" s="3" t="s">
        <v>115</v>
      </c>
      <c r="L103" s="3" t="s">
        <v>82</v>
      </c>
      <c r="M103" s="21" t="s">
        <v>46</v>
      </c>
      <c r="N103" s="21" t="s">
        <v>52</v>
      </c>
      <c r="O103" s="38">
        <v>32600</v>
      </c>
      <c r="P103" s="6"/>
      <c r="Q103" s="36">
        <v>26.2</v>
      </c>
      <c r="R103" s="37">
        <v>26.2</v>
      </c>
      <c r="S103" t="s">
        <v>433</v>
      </c>
      <c r="T103">
        <f t="shared" si="4"/>
        <v>825300</v>
      </c>
      <c r="U103">
        <f t="shared" si="5"/>
        <v>1100</v>
      </c>
      <c r="V103">
        <f t="shared" si="6"/>
        <v>854120</v>
      </c>
      <c r="W103">
        <f t="shared" si="7"/>
        <v>28820</v>
      </c>
    </row>
    <row r="104" spans="1:23" x14ac:dyDescent="0.25">
      <c r="A104" s="204">
        <v>7203454549</v>
      </c>
      <c r="B104" s="204">
        <v>7203415042</v>
      </c>
      <c r="C104" s="126" t="s">
        <v>96</v>
      </c>
      <c r="D104" s="5">
        <v>6234000600</v>
      </c>
      <c r="E104" s="156">
        <v>44623</v>
      </c>
      <c r="F104" s="155">
        <v>27100</v>
      </c>
      <c r="G104" s="5" t="s">
        <v>421</v>
      </c>
      <c r="H104" s="204">
        <v>5501132737</v>
      </c>
      <c r="I104" s="34">
        <v>4400</v>
      </c>
      <c r="J104" s="35">
        <v>26.2</v>
      </c>
      <c r="K104" s="3" t="s">
        <v>6</v>
      </c>
      <c r="L104" s="3" t="s">
        <v>85</v>
      </c>
      <c r="M104" s="21" t="s">
        <v>50</v>
      </c>
      <c r="N104" s="21" t="s">
        <v>56</v>
      </c>
      <c r="O104" s="38">
        <v>32600</v>
      </c>
      <c r="P104" s="6"/>
      <c r="Q104" s="36">
        <v>26.2</v>
      </c>
      <c r="R104" s="37">
        <v>26.2</v>
      </c>
      <c r="S104" t="s">
        <v>433</v>
      </c>
      <c r="T104">
        <f t="shared" si="4"/>
        <v>825300</v>
      </c>
      <c r="U104">
        <f t="shared" si="5"/>
        <v>1100</v>
      </c>
      <c r="V104">
        <f t="shared" si="6"/>
        <v>854120</v>
      </c>
      <c r="W104">
        <f t="shared" si="7"/>
        <v>28820</v>
      </c>
    </row>
    <row r="105" spans="1:23" x14ac:dyDescent="0.25">
      <c r="A105" s="204">
        <v>7203454549</v>
      </c>
      <c r="B105" s="204">
        <v>7203415042</v>
      </c>
      <c r="C105" s="126" t="s">
        <v>96</v>
      </c>
      <c r="D105" s="5">
        <v>6234000600</v>
      </c>
      <c r="E105" s="156">
        <v>44623</v>
      </c>
      <c r="F105" s="155">
        <v>27100</v>
      </c>
      <c r="G105" s="5" t="s">
        <v>421</v>
      </c>
      <c r="H105" s="204">
        <v>5501208190</v>
      </c>
      <c r="I105" s="34">
        <v>4400</v>
      </c>
      <c r="J105" s="35">
        <v>26.48</v>
      </c>
      <c r="K105" s="3" t="s">
        <v>112</v>
      </c>
      <c r="L105" s="3" t="s">
        <v>173</v>
      </c>
      <c r="M105" s="21" t="s">
        <v>49</v>
      </c>
      <c r="N105" s="21" t="s">
        <v>153</v>
      </c>
      <c r="O105" s="38">
        <v>32600</v>
      </c>
      <c r="P105" s="6"/>
      <c r="Q105" s="36">
        <v>26.48</v>
      </c>
      <c r="R105" s="37">
        <v>26.48</v>
      </c>
      <c r="S105" t="s">
        <v>433</v>
      </c>
      <c r="T105">
        <f t="shared" si="4"/>
        <v>834120</v>
      </c>
      <c r="U105">
        <f t="shared" si="5"/>
        <v>1100</v>
      </c>
      <c r="V105">
        <f t="shared" si="6"/>
        <v>863248</v>
      </c>
      <c r="W105">
        <f t="shared" si="7"/>
        <v>29128</v>
      </c>
    </row>
    <row r="106" spans="1:23" x14ac:dyDescent="0.25">
      <c r="A106" s="204">
        <v>7203454549</v>
      </c>
      <c r="B106" s="204">
        <v>7203415042</v>
      </c>
      <c r="C106" s="126" t="s">
        <v>96</v>
      </c>
      <c r="D106" s="5">
        <v>6234000600</v>
      </c>
      <c r="E106" s="156">
        <v>44623</v>
      </c>
      <c r="F106" s="155">
        <v>27100</v>
      </c>
      <c r="G106" s="5" t="s">
        <v>421</v>
      </c>
      <c r="H106" s="204">
        <v>5501208190</v>
      </c>
      <c r="I106" s="34">
        <v>4400</v>
      </c>
      <c r="J106" s="35">
        <v>26.42</v>
      </c>
      <c r="K106" s="3" t="s">
        <v>111</v>
      </c>
      <c r="L106" s="3" t="s">
        <v>170</v>
      </c>
      <c r="M106" s="21" t="s">
        <v>49</v>
      </c>
      <c r="N106" s="21" t="s">
        <v>150</v>
      </c>
      <c r="O106" s="38">
        <v>32600</v>
      </c>
      <c r="P106" s="6"/>
      <c r="Q106" s="36">
        <v>26.42</v>
      </c>
      <c r="R106" s="37">
        <v>26.42</v>
      </c>
      <c r="S106" t="s">
        <v>433</v>
      </c>
      <c r="T106">
        <f t="shared" si="4"/>
        <v>832230</v>
      </c>
      <c r="U106">
        <f t="shared" si="5"/>
        <v>1100</v>
      </c>
      <c r="V106">
        <f t="shared" si="6"/>
        <v>861292</v>
      </c>
      <c r="W106">
        <f t="shared" si="7"/>
        <v>29062</v>
      </c>
    </row>
    <row r="107" spans="1:23" x14ac:dyDescent="0.25">
      <c r="A107" s="204">
        <v>7203454549</v>
      </c>
      <c r="B107" s="204">
        <v>7203415042</v>
      </c>
      <c r="C107" s="126" t="s">
        <v>96</v>
      </c>
      <c r="D107" s="5">
        <v>6234000600</v>
      </c>
      <c r="E107" s="156">
        <v>44623</v>
      </c>
      <c r="F107" s="155">
        <v>27100</v>
      </c>
      <c r="G107" s="5" t="s">
        <v>421</v>
      </c>
      <c r="H107" s="204">
        <v>5501208190</v>
      </c>
      <c r="I107" s="34">
        <v>4400</v>
      </c>
      <c r="J107" s="35">
        <v>26.46</v>
      </c>
      <c r="K107" s="3" t="s">
        <v>110</v>
      </c>
      <c r="L107" s="3" t="s">
        <v>169</v>
      </c>
      <c r="M107" s="21" t="s">
        <v>47</v>
      </c>
      <c r="N107" s="21" t="s">
        <v>149</v>
      </c>
      <c r="O107" s="38">
        <v>32600</v>
      </c>
      <c r="P107" s="6"/>
      <c r="Q107" s="36">
        <v>26.46</v>
      </c>
      <c r="R107" s="37">
        <v>26.46</v>
      </c>
      <c r="S107" t="s">
        <v>433</v>
      </c>
      <c r="T107">
        <f t="shared" si="4"/>
        <v>833490</v>
      </c>
      <c r="U107">
        <f t="shared" si="5"/>
        <v>1100</v>
      </c>
      <c r="V107">
        <f t="shared" si="6"/>
        <v>862596</v>
      </c>
      <c r="W107">
        <f t="shared" si="7"/>
        <v>29106</v>
      </c>
    </row>
    <row r="108" spans="1:23" x14ac:dyDescent="0.25">
      <c r="A108" s="204">
        <v>7203454549</v>
      </c>
      <c r="B108" s="204">
        <v>7203415042</v>
      </c>
      <c r="C108" s="126" t="s">
        <v>96</v>
      </c>
      <c r="D108" s="5">
        <v>6234000600</v>
      </c>
      <c r="E108" s="156">
        <v>44623</v>
      </c>
      <c r="F108" s="155">
        <v>27100</v>
      </c>
      <c r="G108" s="5" t="s">
        <v>421</v>
      </c>
      <c r="H108" s="204">
        <v>5501208190</v>
      </c>
      <c r="I108" s="34">
        <v>4400</v>
      </c>
      <c r="J108" s="35">
        <v>26.56</v>
      </c>
      <c r="K108" s="3" t="s">
        <v>101</v>
      </c>
      <c r="L108" s="3" t="s">
        <v>159</v>
      </c>
      <c r="M108" s="21" t="s">
        <v>49</v>
      </c>
      <c r="N108" s="21" t="s">
        <v>140</v>
      </c>
      <c r="O108" s="38">
        <v>32600</v>
      </c>
      <c r="P108" s="6"/>
      <c r="Q108" s="36">
        <v>26.56</v>
      </c>
      <c r="R108" s="37">
        <v>26.56</v>
      </c>
      <c r="S108" t="s">
        <v>433</v>
      </c>
      <c r="T108">
        <f t="shared" si="4"/>
        <v>836640</v>
      </c>
      <c r="U108">
        <f t="shared" si="5"/>
        <v>1100</v>
      </c>
      <c r="V108">
        <f t="shared" si="6"/>
        <v>865856</v>
      </c>
      <c r="W108">
        <f t="shared" si="7"/>
        <v>29216</v>
      </c>
    </row>
    <row r="109" spans="1:23" x14ac:dyDescent="0.25">
      <c r="A109" s="204">
        <v>7203454549</v>
      </c>
      <c r="B109" s="204">
        <v>7203415042</v>
      </c>
      <c r="C109" s="126" t="s">
        <v>96</v>
      </c>
      <c r="D109" s="5">
        <v>6234000600</v>
      </c>
      <c r="E109" s="156">
        <v>44624</v>
      </c>
      <c r="F109" s="155">
        <v>27100</v>
      </c>
      <c r="G109" s="5" t="s">
        <v>421</v>
      </c>
      <c r="H109" s="204">
        <v>5501208190</v>
      </c>
      <c r="I109" s="34">
        <v>4400</v>
      </c>
      <c r="J109" s="35">
        <v>25.56</v>
      </c>
      <c r="K109" s="3" t="s">
        <v>105</v>
      </c>
      <c r="L109" s="3" t="s">
        <v>164</v>
      </c>
      <c r="M109" s="21" t="s">
        <v>47</v>
      </c>
      <c r="N109" s="21" t="s">
        <v>68</v>
      </c>
      <c r="O109" s="38">
        <v>32600</v>
      </c>
      <c r="P109" s="6"/>
      <c r="Q109" s="36">
        <v>25.56</v>
      </c>
      <c r="R109" s="37">
        <v>25.56</v>
      </c>
      <c r="S109" t="s">
        <v>433</v>
      </c>
      <c r="T109">
        <f t="shared" si="4"/>
        <v>805140</v>
      </c>
      <c r="U109">
        <f t="shared" si="5"/>
        <v>1100</v>
      </c>
      <c r="V109">
        <f t="shared" si="6"/>
        <v>833256</v>
      </c>
      <c r="W109">
        <f t="shared" si="7"/>
        <v>28116</v>
      </c>
    </row>
    <row r="110" spans="1:23" x14ac:dyDescent="0.25">
      <c r="A110" s="204">
        <v>7203454549</v>
      </c>
      <c r="B110" s="204">
        <v>7203415042</v>
      </c>
      <c r="C110" s="126" t="s">
        <v>96</v>
      </c>
      <c r="D110" s="5">
        <v>6234000600</v>
      </c>
      <c r="E110" s="156">
        <v>44624</v>
      </c>
      <c r="F110" s="155">
        <v>27100</v>
      </c>
      <c r="G110" s="5" t="s">
        <v>421</v>
      </c>
      <c r="H110" s="204">
        <v>5501208190</v>
      </c>
      <c r="I110" s="34">
        <v>4400</v>
      </c>
      <c r="J110" s="35">
        <v>26.46</v>
      </c>
      <c r="K110" s="3" t="s">
        <v>3</v>
      </c>
      <c r="L110" s="3" t="s">
        <v>83</v>
      </c>
      <c r="M110" s="21" t="s">
        <v>47</v>
      </c>
      <c r="N110" s="21" t="s">
        <v>53</v>
      </c>
      <c r="O110" s="38">
        <v>32600</v>
      </c>
      <c r="P110" s="6"/>
      <c r="Q110" s="36">
        <v>26.46</v>
      </c>
      <c r="R110" s="37">
        <v>26.46</v>
      </c>
      <c r="S110" t="s">
        <v>433</v>
      </c>
      <c r="T110">
        <f t="shared" si="4"/>
        <v>833490</v>
      </c>
      <c r="U110">
        <f t="shared" si="5"/>
        <v>1100</v>
      </c>
      <c r="V110">
        <f t="shared" si="6"/>
        <v>862596</v>
      </c>
      <c r="W110">
        <f t="shared" si="7"/>
        <v>29106</v>
      </c>
    </row>
    <row r="111" spans="1:23" x14ac:dyDescent="0.25">
      <c r="A111" s="204">
        <v>7203454549</v>
      </c>
      <c r="B111" s="204">
        <v>7203415042</v>
      </c>
      <c r="C111" s="126" t="s">
        <v>96</v>
      </c>
      <c r="D111" s="5">
        <v>6234000600</v>
      </c>
      <c r="E111" s="156">
        <v>44624</v>
      </c>
      <c r="F111" s="155">
        <v>27100</v>
      </c>
      <c r="G111" s="5" t="s">
        <v>421</v>
      </c>
      <c r="H111" s="204">
        <v>5506225174</v>
      </c>
      <c r="I111" s="34">
        <v>4400</v>
      </c>
      <c r="J111" s="35">
        <v>26.52</v>
      </c>
      <c r="K111" s="3" t="s">
        <v>99</v>
      </c>
      <c r="L111" s="3" t="s">
        <v>158</v>
      </c>
      <c r="M111" s="21" t="s">
        <v>47</v>
      </c>
      <c r="N111" s="21" t="s">
        <v>139</v>
      </c>
      <c r="O111" s="38">
        <v>32600</v>
      </c>
      <c r="P111" s="6"/>
      <c r="Q111" s="36">
        <v>26.52</v>
      </c>
      <c r="R111" s="37">
        <v>26.52</v>
      </c>
      <c r="S111" t="s">
        <v>433</v>
      </c>
      <c r="T111">
        <f t="shared" si="4"/>
        <v>835380</v>
      </c>
      <c r="U111">
        <f t="shared" si="5"/>
        <v>1100</v>
      </c>
      <c r="V111">
        <f t="shared" si="6"/>
        <v>864552</v>
      </c>
      <c r="W111">
        <f t="shared" si="7"/>
        <v>29172</v>
      </c>
    </row>
    <row r="112" spans="1:23" x14ac:dyDescent="0.25">
      <c r="A112" s="204">
        <v>7203454549</v>
      </c>
      <c r="B112" s="204">
        <v>7203415042</v>
      </c>
      <c r="C112" s="126" t="s">
        <v>96</v>
      </c>
      <c r="D112" s="5">
        <v>6234000600</v>
      </c>
      <c r="E112" s="156">
        <v>44624</v>
      </c>
      <c r="F112" s="155">
        <v>27100</v>
      </c>
      <c r="G112" s="5" t="s">
        <v>421</v>
      </c>
      <c r="H112" s="204">
        <v>5506225174</v>
      </c>
      <c r="I112" s="34">
        <v>4400</v>
      </c>
      <c r="J112" s="35">
        <v>26.72</v>
      </c>
      <c r="K112" s="3" t="s">
        <v>116</v>
      </c>
      <c r="L112" s="3" t="s">
        <v>174</v>
      </c>
      <c r="M112" s="21" t="s">
        <v>136</v>
      </c>
      <c r="N112" s="21" t="s">
        <v>154</v>
      </c>
      <c r="O112" s="38">
        <v>32600</v>
      </c>
      <c r="P112" s="6"/>
      <c r="Q112" s="36">
        <v>26.72</v>
      </c>
      <c r="R112" s="37">
        <v>26.72</v>
      </c>
      <c r="S112" t="s">
        <v>433</v>
      </c>
      <c r="T112">
        <f t="shared" si="4"/>
        <v>841680</v>
      </c>
      <c r="U112">
        <f t="shared" si="5"/>
        <v>1100</v>
      </c>
      <c r="V112">
        <f t="shared" si="6"/>
        <v>871072</v>
      </c>
      <c r="W112">
        <f t="shared" si="7"/>
        <v>29392</v>
      </c>
    </row>
    <row r="113" spans="1:23" x14ac:dyDescent="0.25">
      <c r="A113" s="204">
        <v>7203454549</v>
      </c>
      <c r="B113" s="204">
        <v>7203415042</v>
      </c>
      <c r="C113" s="126" t="s">
        <v>96</v>
      </c>
      <c r="D113" s="5">
        <v>6234000600</v>
      </c>
      <c r="E113" s="156">
        <v>44624</v>
      </c>
      <c r="F113" s="155">
        <v>27100</v>
      </c>
      <c r="G113" s="5" t="s">
        <v>421</v>
      </c>
      <c r="H113" s="204">
        <v>5506225174</v>
      </c>
      <c r="I113" s="34">
        <v>4400</v>
      </c>
      <c r="J113" s="35">
        <v>26.62</v>
      </c>
      <c r="K113" s="3" t="s">
        <v>117</v>
      </c>
      <c r="L113" s="3" t="s">
        <v>175</v>
      </c>
      <c r="M113" s="21" t="s">
        <v>136</v>
      </c>
      <c r="N113" s="21" t="s">
        <v>155</v>
      </c>
      <c r="O113" s="38">
        <v>32600</v>
      </c>
      <c r="P113" s="6"/>
      <c r="Q113" s="36">
        <v>26.62</v>
      </c>
      <c r="R113" s="37">
        <v>26.62</v>
      </c>
      <c r="S113" t="s">
        <v>433</v>
      </c>
      <c r="T113">
        <f t="shared" si="4"/>
        <v>838530</v>
      </c>
      <c r="U113">
        <f t="shared" si="5"/>
        <v>1100</v>
      </c>
      <c r="V113">
        <f t="shared" si="6"/>
        <v>867812</v>
      </c>
      <c r="W113">
        <f t="shared" si="7"/>
        <v>29282</v>
      </c>
    </row>
    <row r="114" spans="1:23" x14ac:dyDescent="0.25">
      <c r="A114" s="204">
        <v>7203454549</v>
      </c>
      <c r="B114" s="39">
        <v>7203175930</v>
      </c>
      <c r="C114" s="126" t="s">
        <v>177</v>
      </c>
      <c r="D114" s="5">
        <v>6234000600</v>
      </c>
      <c r="E114" s="156">
        <v>44595</v>
      </c>
      <c r="F114" s="155">
        <v>26100</v>
      </c>
      <c r="G114" s="5" t="s">
        <v>421</v>
      </c>
      <c r="H114" s="204">
        <v>5501132737</v>
      </c>
      <c r="I114" s="44">
        <v>2600</v>
      </c>
      <c r="J114" s="42">
        <v>26.2</v>
      </c>
      <c r="K114" s="3" t="s">
        <v>113</v>
      </c>
      <c r="L114" s="3" t="s">
        <v>129</v>
      </c>
      <c r="M114" s="6"/>
      <c r="N114" s="6"/>
      <c r="O114" s="45">
        <v>31800</v>
      </c>
      <c r="P114" s="40" t="s">
        <v>176</v>
      </c>
      <c r="Q114" s="44">
        <v>26.2</v>
      </c>
      <c r="R114" s="44">
        <v>26.2</v>
      </c>
      <c r="S114" t="s">
        <v>433</v>
      </c>
      <c r="T114">
        <f t="shared" si="4"/>
        <v>751940</v>
      </c>
      <c r="U114">
        <f t="shared" si="5"/>
        <v>3100</v>
      </c>
      <c r="V114">
        <f t="shared" si="6"/>
        <v>833160</v>
      </c>
      <c r="W114">
        <f t="shared" si="7"/>
        <v>81220</v>
      </c>
    </row>
    <row r="115" spans="1:23" x14ac:dyDescent="0.25">
      <c r="A115" s="204">
        <v>7203454549</v>
      </c>
      <c r="B115" s="39">
        <v>7203175930</v>
      </c>
      <c r="C115" s="126" t="s">
        <v>177</v>
      </c>
      <c r="D115" s="5">
        <v>6234000600</v>
      </c>
      <c r="E115" s="156">
        <v>44595</v>
      </c>
      <c r="F115" s="155">
        <v>26100</v>
      </c>
      <c r="G115" s="5" t="s">
        <v>421</v>
      </c>
      <c r="H115" s="204">
        <v>5501132737</v>
      </c>
      <c r="I115" s="44">
        <v>2600</v>
      </c>
      <c r="J115" s="42">
        <v>26.2</v>
      </c>
      <c r="K115" s="3" t="s">
        <v>114</v>
      </c>
      <c r="L115" s="3" t="s">
        <v>130</v>
      </c>
      <c r="M115" s="6"/>
      <c r="N115" s="6"/>
      <c r="O115" s="45">
        <v>31800</v>
      </c>
      <c r="P115" s="40" t="s">
        <v>176</v>
      </c>
      <c r="Q115" s="44">
        <v>26.2</v>
      </c>
      <c r="R115" s="44">
        <v>26.2</v>
      </c>
      <c r="S115" t="s">
        <v>433</v>
      </c>
      <c r="T115">
        <f t="shared" si="4"/>
        <v>751940</v>
      </c>
      <c r="U115">
        <f t="shared" si="5"/>
        <v>3100</v>
      </c>
      <c r="V115">
        <f t="shared" si="6"/>
        <v>833160</v>
      </c>
      <c r="W115">
        <f t="shared" si="7"/>
        <v>81220</v>
      </c>
    </row>
    <row r="116" spans="1:23" x14ac:dyDescent="0.25">
      <c r="A116" s="204">
        <v>7203454549</v>
      </c>
      <c r="B116" s="204">
        <v>7203175930</v>
      </c>
      <c r="C116" s="126" t="s">
        <v>177</v>
      </c>
      <c r="D116" s="5">
        <v>6234000600</v>
      </c>
      <c r="E116" s="156">
        <v>44595</v>
      </c>
      <c r="F116" s="155">
        <v>26100</v>
      </c>
      <c r="G116" s="5" t="s">
        <v>421</v>
      </c>
      <c r="H116" s="204">
        <v>5501132737</v>
      </c>
      <c r="I116" s="44">
        <v>2600</v>
      </c>
      <c r="J116" s="42">
        <v>26.28</v>
      </c>
      <c r="K116" s="3" t="s">
        <v>17</v>
      </c>
      <c r="L116" s="3" t="s">
        <v>36</v>
      </c>
      <c r="M116" s="6"/>
      <c r="N116" s="6"/>
      <c r="O116" s="45">
        <v>31800</v>
      </c>
      <c r="P116" s="40" t="s">
        <v>176</v>
      </c>
      <c r="Q116" s="44">
        <v>26.28</v>
      </c>
      <c r="R116" s="44">
        <v>26.28</v>
      </c>
      <c r="S116" t="s">
        <v>433</v>
      </c>
      <c r="T116">
        <f t="shared" si="4"/>
        <v>754236</v>
      </c>
      <c r="U116">
        <f t="shared" si="5"/>
        <v>3100</v>
      </c>
      <c r="V116">
        <f t="shared" si="6"/>
        <v>835704</v>
      </c>
      <c r="W116">
        <f t="shared" si="7"/>
        <v>81468</v>
      </c>
    </row>
    <row r="117" spans="1:23" x14ac:dyDescent="0.25">
      <c r="A117" s="204">
        <v>7203454549</v>
      </c>
      <c r="B117" s="204">
        <v>7203175930</v>
      </c>
      <c r="C117" s="126" t="s">
        <v>177</v>
      </c>
      <c r="D117" s="5">
        <v>6234000600</v>
      </c>
      <c r="E117" s="156">
        <v>44595</v>
      </c>
      <c r="F117" s="155">
        <v>26100</v>
      </c>
      <c r="G117" s="5" t="s">
        <v>421</v>
      </c>
      <c r="H117" s="204">
        <v>5507259666</v>
      </c>
      <c r="I117" s="44">
        <v>2400</v>
      </c>
      <c r="J117" s="42">
        <v>26.54</v>
      </c>
      <c r="K117" s="3" t="s">
        <v>108</v>
      </c>
      <c r="L117" s="3" t="s">
        <v>219</v>
      </c>
      <c r="M117" s="6"/>
      <c r="N117" s="6"/>
      <c r="O117" s="45">
        <v>31800</v>
      </c>
      <c r="P117" s="40" t="s">
        <v>176</v>
      </c>
      <c r="Q117" s="44">
        <v>26.54</v>
      </c>
      <c r="R117" s="44">
        <v>26.54</v>
      </c>
      <c r="S117" t="s">
        <v>433</v>
      </c>
      <c r="T117">
        <f t="shared" si="4"/>
        <v>756390</v>
      </c>
      <c r="U117">
        <f t="shared" si="5"/>
        <v>3300</v>
      </c>
      <c r="V117">
        <f t="shared" si="6"/>
        <v>843972</v>
      </c>
      <c r="W117">
        <f t="shared" si="7"/>
        <v>87582</v>
      </c>
    </row>
    <row r="118" spans="1:23" x14ac:dyDescent="0.25">
      <c r="A118" s="204">
        <v>7203454549</v>
      </c>
      <c r="B118" s="204">
        <v>7203175930</v>
      </c>
      <c r="C118" s="126" t="s">
        <v>177</v>
      </c>
      <c r="D118" s="5">
        <v>6234000600</v>
      </c>
      <c r="E118" s="156">
        <v>44595</v>
      </c>
      <c r="F118" s="155">
        <v>26100</v>
      </c>
      <c r="G118" s="5" t="s">
        <v>421</v>
      </c>
      <c r="H118" s="204">
        <v>5507259666</v>
      </c>
      <c r="I118" s="44">
        <v>2400</v>
      </c>
      <c r="J118" s="42">
        <v>23.26</v>
      </c>
      <c r="K118" s="3" t="s">
        <v>102</v>
      </c>
      <c r="L118" s="3" t="s">
        <v>220</v>
      </c>
      <c r="M118" s="6"/>
      <c r="N118" s="6"/>
      <c r="O118" s="45">
        <v>31800</v>
      </c>
      <c r="P118" s="40" t="s">
        <v>176</v>
      </c>
      <c r="Q118" s="44">
        <v>23.26</v>
      </c>
      <c r="R118" s="44">
        <v>23.26</v>
      </c>
      <c r="S118" t="s">
        <v>433</v>
      </c>
      <c r="T118">
        <f t="shared" si="4"/>
        <v>662910</v>
      </c>
      <c r="U118">
        <f t="shared" si="5"/>
        <v>3300</v>
      </c>
      <c r="V118">
        <f t="shared" si="6"/>
        <v>739668</v>
      </c>
      <c r="W118">
        <f t="shared" si="7"/>
        <v>76758</v>
      </c>
    </row>
    <row r="119" spans="1:23" x14ac:dyDescent="0.25">
      <c r="A119" s="204">
        <v>7203454549</v>
      </c>
      <c r="B119" s="204">
        <v>7203175930</v>
      </c>
      <c r="C119" s="126" t="s">
        <v>177</v>
      </c>
      <c r="D119" s="5">
        <v>6234000600</v>
      </c>
      <c r="E119" s="156">
        <v>44596</v>
      </c>
      <c r="F119" s="155">
        <v>26100</v>
      </c>
      <c r="G119" s="5" t="s">
        <v>421</v>
      </c>
      <c r="H119" s="204">
        <v>5501208190</v>
      </c>
      <c r="I119" s="44">
        <v>2400</v>
      </c>
      <c r="J119" s="42">
        <v>26.5</v>
      </c>
      <c r="K119" s="3" t="s">
        <v>111</v>
      </c>
      <c r="L119" s="3" t="s">
        <v>128</v>
      </c>
      <c r="M119" s="6"/>
      <c r="N119" s="6"/>
      <c r="O119" s="45">
        <v>31800</v>
      </c>
      <c r="P119" s="40" t="s">
        <v>176</v>
      </c>
      <c r="Q119" s="44">
        <v>26.5</v>
      </c>
      <c r="R119" s="44">
        <v>26.5</v>
      </c>
      <c r="S119" t="s">
        <v>433</v>
      </c>
      <c r="T119">
        <f t="shared" si="4"/>
        <v>755250</v>
      </c>
      <c r="U119">
        <f t="shared" si="5"/>
        <v>3300</v>
      </c>
      <c r="V119">
        <f t="shared" si="6"/>
        <v>842700</v>
      </c>
      <c r="W119">
        <f t="shared" si="7"/>
        <v>87450</v>
      </c>
    </row>
    <row r="120" spans="1:23" x14ac:dyDescent="0.25">
      <c r="A120" s="204">
        <v>7203454549</v>
      </c>
      <c r="B120" s="204">
        <v>7203175930</v>
      </c>
      <c r="C120" s="126" t="s">
        <v>177</v>
      </c>
      <c r="D120" s="5">
        <v>6234000600</v>
      </c>
      <c r="E120" s="156">
        <v>44596</v>
      </c>
      <c r="F120" s="155">
        <v>26100</v>
      </c>
      <c r="G120" s="5" t="s">
        <v>421</v>
      </c>
      <c r="H120" s="204">
        <v>5501208190</v>
      </c>
      <c r="I120" s="44">
        <v>2400</v>
      </c>
      <c r="J120" s="42">
        <v>26.78</v>
      </c>
      <c r="K120" s="3" t="s">
        <v>101</v>
      </c>
      <c r="L120" s="3" t="s">
        <v>119</v>
      </c>
      <c r="M120" s="6"/>
      <c r="N120" s="6"/>
      <c r="O120" s="45">
        <v>31800</v>
      </c>
      <c r="P120" s="40" t="s">
        <v>176</v>
      </c>
      <c r="Q120" s="44">
        <v>26.78</v>
      </c>
      <c r="R120" s="44">
        <v>26.78</v>
      </c>
      <c r="S120" t="s">
        <v>433</v>
      </c>
      <c r="T120">
        <f t="shared" si="4"/>
        <v>763230</v>
      </c>
      <c r="U120">
        <f t="shared" si="5"/>
        <v>3300</v>
      </c>
      <c r="V120">
        <f t="shared" si="6"/>
        <v>851604</v>
      </c>
      <c r="W120">
        <f t="shared" si="7"/>
        <v>88374</v>
      </c>
    </row>
    <row r="121" spans="1:23" x14ac:dyDescent="0.25">
      <c r="A121" s="204">
        <v>7203454549</v>
      </c>
      <c r="B121" s="204">
        <v>7203175930</v>
      </c>
      <c r="C121" s="126" t="s">
        <v>177</v>
      </c>
      <c r="D121" s="5">
        <v>6234000600</v>
      </c>
      <c r="E121" s="156">
        <v>44596</v>
      </c>
      <c r="F121" s="155">
        <v>26100</v>
      </c>
      <c r="G121" s="5" t="s">
        <v>421</v>
      </c>
      <c r="H121" s="204">
        <v>5501208190</v>
      </c>
      <c r="I121" s="44">
        <v>2400</v>
      </c>
      <c r="J121" s="42">
        <v>26.68</v>
      </c>
      <c r="K121" s="3" t="s">
        <v>112</v>
      </c>
      <c r="L121" s="3" t="s">
        <v>221</v>
      </c>
      <c r="M121" s="6"/>
      <c r="N121" s="6"/>
      <c r="O121" s="45">
        <v>31800</v>
      </c>
      <c r="P121" s="40" t="s">
        <v>176</v>
      </c>
      <c r="Q121" s="44">
        <v>26.68</v>
      </c>
      <c r="R121" s="44">
        <v>26.68</v>
      </c>
      <c r="S121" t="s">
        <v>433</v>
      </c>
      <c r="T121">
        <f t="shared" si="4"/>
        <v>760380</v>
      </c>
      <c r="U121">
        <f t="shared" si="5"/>
        <v>3300</v>
      </c>
      <c r="V121">
        <f t="shared" si="6"/>
        <v>848424</v>
      </c>
      <c r="W121">
        <f t="shared" si="7"/>
        <v>88044</v>
      </c>
    </row>
    <row r="122" spans="1:23" x14ac:dyDescent="0.25">
      <c r="A122" s="204">
        <v>7203454549</v>
      </c>
      <c r="B122" s="204">
        <v>7203175930</v>
      </c>
      <c r="C122" s="126" t="s">
        <v>177</v>
      </c>
      <c r="D122" s="5">
        <v>6234000600</v>
      </c>
      <c r="E122" s="156">
        <v>44596</v>
      </c>
      <c r="F122" s="155">
        <v>26100</v>
      </c>
      <c r="G122" s="5" t="s">
        <v>421</v>
      </c>
      <c r="H122" s="204">
        <v>5506225174</v>
      </c>
      <c r="I122" s="44">
        <v>2400</v>
      </c>
      <c r="J122" s="42">
        <v>26.6</v>
      </c>
      <c r="K122" s="3" t="s">
        <v>104</v>
      </c>
      <c r="L122" s="3" t="s">
        <v>122</v>
      </c>
      <c r="M122" s="6"/>
      <c r="N122" s="6"/>
      <c r="O122" s="45">
        <v>31800</v>
      </c>
      <c r="P122" s="40" t="s">
        <v>176</v>
      </c>
      <c r="Q122" s="44">
        <v>26.6</v>
      </c>
      <c r="R122" s="44">
        <v>26.6</v>
      </c>
      <c r="S122" t="s">
        <v>433</v>
      </c>
      <c r="T122">
        <f t="shared" si="4"/>
        <v>758100</v>
      </c>
      <c r="U122">
        <f t="shared" si="5"/>
        <v>3300</v>
      </c>
      <c r="V122">
        <f t="shared" si="6"/>
        <v>845880</v>
      </c>
      <c r="W122">
        <f t="shared" si="7"/>
        <v>87780</v>
      </c>
    </row>
    <row r="123" spans="1:23" x14ac:dyDescent="0.25">
      <c r="A123" s="204">
        <v>7203454549</v>
      </c>
      <c r="B123" s="204">
        <v>7203175930</v>
      </c>
      <c r="C123" s="126" t="s">
        <v>177</v>
      </c>
      <c r="D123" s="5">
        <v>6234000600</v>
      </c>
      <c r="E123" s="156">
        <v>44596</v>
      </c>
      <c r="F123" s="155">
        <v>26100</v>
      </c>
      <c r="G123" s="5" t="s">
        <v>421</v>
      </c>
      <c r="H123" s="204">
        <v>5507259666</v>
      </c>
      <c r="I123" s="44">
        <v>2400</v>
      </c>
      <c r="J123" s="42">
        <v>23.72</v>
      </c>
      <c r="K123" s="3" t="s">
        <v>178</v>
      </c>
      <c r="L123" s="3" t="s">
        <v>222</v>
      </c>
      <c r="M123" s="6"/>
      <c r="N123" s="6"/>
      <c r="O123" s="45">
        <v>31800</v>
      </c>
      <c r="P123" s="40" t="s">
        <v>176</v>
      </c>
      <c r="Q123" s="44">
        <v>23.72</v>
      </c>
      <c r="R123" s="44">
        <v>23.72</v>
      </c>
      <c r="S123" t="s">
        <v>433</v>
      </c>
      <c r="T123">
        <f t="shared" si="4"/>
        <v>676020</v>
      </c>
      <c r="U123">
        <f t="shared" si="5"/>
        <v>3300</v>
      </c>
      <c r="V123">
        <f t="shared" si="6"/>
        <v>754296</v>
      </c>
      <c r="W123">
        <f t="shared" si="7"/>
        <v>78276</v>
      </c>
    </row>
    <row r="124" spans="1:23" x14ac:dyDescent="0.25">
      <c r="A124" s="204">
        <v>7203454549</v>
      </c>
      <c r="B124" s="204">
        <v>7203175930</v>
      </c>
      <c r="C124" s="126" t="s">
        <v>177</v>
      </c>
      <c r="D124" s="5">
        <v>6234000600</v>
      </c>
      <c r="E124" s="156">
        <v>44596</v>
      </c>
      <c r="F124" s="155">
        <v>26100</v>
      </c>
      <c r="G124" s="5" t="s">
        <v>421</v>
      </c>
      <c r="H124" s="204">
        <v>5507259666</v>
      </c>
      <c r="I124" s="44">
        <v>2400</v>
      </c>
      <c r="J124" s="42">
        <v>26.5</v>
      </c>
      <c r="K124" s="3" t="s">
        <v>179</v>
      </c>
      <c r="L124" s="3" t="s">
        <v>223</v>
      </c>
      <c r="M124" s="6"/>
      <c r="N124" s="6"/>
      <c r="O124" s="45">
        <v>31800</v>
      </c>
      <c r="P124" s="40" t="s">
        <v>176</v>
      </c>
      <c r="Q124" s="44">
        <v>26.5</v>
      </c>
      <c r="R124" s="44">
        <v>26.5</v>
      </c>
      <c r="S124" t="s">
        <v>433</v>
      </c>
      <c r="T124">
        <f t="shared" si="4"/>
        <v>755250</v>
      </c>
      <c r="U124">
        <f t="shared" si="5"/>
        <v>3300</v>
      </c>
      <c r="V124">
        <f t="shared" si="6"/>
        <v>842700</v>
      </c>
      <c r="W124">
        <f t="shared" si="7"/>
        <v>87450</v>
      </c>
    </row>
    <row r="125" spans="1:23" x14ac:dyDescent="0.25">
      <c r="A125" s="204">
        <v>7203454549</v>
      </c>
      <c r="B125" s="204">
        <v>7203175930</v>
      </c>
      <c r="C125" s="126" t="s">
        <v>177</v>
      </c>
      <c r="D125" s="5">
        <v>6234000600</v>
      </c>
      <c r="E125" s="156">
        <v>44596</v>
      </c>
      <c r="F125" s="155">
        <v>26100</v>
      </c>
      <c r="G125" s="5" t="s">
        <v>421</v>
      </c>
      <c r="H125" s="204">
        <v>5507259666</v>
      </c>
      <c r="I125" s="44">
        <v>2400</v>
      </c>
      <c r="J125" s="42">
        <v>26.32</v>
      </c>
      <c r="K125" s="3" t="s">
        <v>180</v>
      </c>
      <c r="L125" s="3" t="s">
        <v>224</v>
      </c>
      <c r="M125" s="6"/>
      <c r="N125" s="6"/>
      <c r="O125" s="45">
        <v>31800</v>
      </c>
      <c r="P125" s="40" t="s">
        <v>176</v>
      </c>
      <c r="Q125" s="44">
        <v>26.32</v>
      </c>
      <c r="R125" s="44">
        <v>26.32</v>
      </c>
      <c r="S125" t="s">
        <v>433</v>
      </c>
      <c r="T125">
        <f t="shared" si="4"/>
        <v>750120</v>
      </c>
      <c r="U125">
        <f t="shared" si="5"/>
        <v>3300</v>
      </c>
      <c r="V125">
        <f t="shared" si="6"/>
        <v>836976</v>
      </c>
      <c r="W125">
        <f t="shared" si="7"/>
        <v>86856</v>
      </c>
    </row>
    <row r="126" spans="1:23" x14ac:dyDescent="0.25">
      <c r="A126" s="204">
        <v>7203454549</v>
      </c>
      <c r="B126" s="204">
        <v>7203175930</v>
      </c>
      <c r="C126" s="126" t="s">
        <v>177</v>
      </c>
      <c r="D126" s="5">
        <v>6234000600</v>
      </c>
      <c r="E126" s="156">
        <v>44596</v>
      </c>
      <c r="F126" s="155">
        <v>26100</v>
      </c>
      <c r="G126" s="5" t="s">
        <v>421</v>
      </c>
      <c r="H126" s="204">
        <v>5501132737</v>
      </c>
      <c r="I126" s="44">
        <v>2600</v>
      </c>
      <c r="J126" s="42">
        <v>26.64</v>
      </c>
      <c r="K126" s="3" t="s">
        <v>181</v>
      </c>
      <c r="L126" s="3" t="s">
        <v>225</v>
      </c>
      <c r="M126" s="6"/>
      <c r="N126" s="6"/>
      <c r="O126" s="45">
        <v>31800</v>
      </c>
      <c r="P126" s="40" t="s">
        <v>176</v>
      </c>
      <c r="Q126" s="44">
        <v>26.64</v>
      </c>
      <c r="R126" s="44">
        <v>26.64</v>
      </c>
      <c r="S126" t="s">
        <v>433</v>
      </c>
      <c r="T126">
        <f t="shared" si="4"/>
        <v>764568</v>
      </c>
      <c r="U126">
        <f t="shared" si="5"/>
        <v>3100</v>
      </c>
      <c r="V126">
        <f t="shared" si="6"/>
        <v>847152</v>
      </c>
      <c r="W126">
        <f t="shared" si="7"/>
        <v>82584</v>
      </c>
    </row>
    <row r="127" spans="1:23" x14ac:dyDescent="0.25">
      <c r="A127" s="204">
        <v>7203454549</v>
      </c>
      <c r="B127" s="204">
        <v>7203175930</v>
      </c>
      <c r="C127" s="126" t="s">
        <v>177</v>
      </c>
      <c r="D127" s="5">
        <v>6234000600</v>
      </c>
      <c r="E127" s="156">
        <v>44596</v>
      </c>
      <c r="F127" s="155">
        <v>26100</v>
      </c>
      <c r="G127" s="5" t="s">
        <v>421</v>
      </c>
      <c r="H127" s="204">
        <v>5501132737</v>
      </c>
      <c r="I127" s="44">
        <v>2600</v>
      </c>
      <c r="J127" s="42">
        <v>24.36</v>
      </c>
      <c r="K127" s="3" t="s">
        <v>182</v>
      </c>
      <c r="L127" s="3" t="s">
        <v>226</v>
      </c>
      <c r="M127" s="6"/>
      <c r="N127" s="6"/>
      <c r="O127" s="45">
        <v>31800</v>
      </c>
      <c r="P127" s="40" t="s">
        <v>176</v>
      </c>
      <c r="Q127" s="44">
        <v>24.36</v>
      </c>
      <c r="R127" s="44">
        <v>24.36</v>
      </c>
      <c r="S127" t="s">
        <v>433</v>
      </c>
      <c r="T127">
        <f t="shared" si="4"/>
        <v>699132</v>
      </c>
      <c r="U127">
        <f t="shared" si="5"/>
        <v>3100</v>
      </c>
      <c r="V127">
        <f t="shared" si="6"/>
        <v>774648</v>
      </c>
      <c r="W127">
        <f t="shared" si="7"/>
        <v>75516</v>
      </c>
    </row>
    <row r="128" spans="1:23" x14ac:dyDescent="0.25">
      <c r="A128" s="204">
        <v>7203454549</v>
      </c>
      <c r="B128" s="204">
        <v>7203175930</v>
      </c>
      <c r="C128" s="126" t="s">
        <v>177</v>
      </c>
      <c r="D128" s="5">
        <v>6234000600</v>
      </c>
      <c r="E128" s="156">
        <v>44596</v>
      </c>
      <c r="F128" s="155">
        <v>26100</v>
      </c>
      <c r="G128" s="5" t="s">
        <v>421</v>
      </c>
      <c r="H128" s="204">
        <v>5501132737</v>
      </c>
      <c r="I128" s="44">
        <v>2600</v>
      </c>
      <c r="J128" s="42">
        <v>24.36</v>
      </c>
      <c r="K128" s="3" t="s">
        <v>183</v>
      </c>
      <c r="L128" s="3" t="s">
        <v>227</v>
      </c>
      <c r="M128" s="6"/>
      <c r="N128" s="6"/>
      <c r="O128" s="45">
        <v>31800</v>
      </c>
      <c r="P128" s="40" t="s">
        <v>176</v>
      </c>
      <c r="Q128" s="44">
        <v>24.36</v>
      </c>
      <c r="R128" s="44">
        <v>24.36</v>
      </c>
      <c r="S128" t="s">
        <v>433</v>
      </c>
      <c r="T128">
        <f t="shared" si="4"/>
        <v>699132</v>
      </c>
      <c r="U128">
        <f t="shared" si="5"/>
        <v>3100</v>
      </c>
      <c r="V128">
        <f t="shared" si="6"/>
        <v>774648</v>
      </c>
      <c r="W128">
        <f t="shared" si="7"/>
        <v>75516</v>
      </c>
    </row>
    <row r="129" spans="1:23" x14ac:dyDescent="0.25">
      <c r="A129" s="204">
        <v>7203454549</v>
      </c>
      <c r="B129" s="204">
        <v>7203175930</v>
      </c>
      <c r="C129" s="126" t="s">
        <v>177</v>
      </c>
      <c r="D129" s="5">
        <v>6234000600</v>
      </c>
      <c r="E129" s="156">
        <v>44596</v>
      </c>
      <c r="F129" s="155">
        <v>26100</v>
      </c>
      <c r="G129" s="5" t="s">
        <v>421</v>
      </c>
      <c r="H129" s="204">
        <v>5501132737</v>
      </c>
      <c r="I129" s="44">
        <v>2600</v>
      </c>
      <c r="J129" s="42">
        <v>26.26</v>
      </c>
      <c r="K129" s="3" t="s">
        <v>6</v>
      </c>
      <c r="L129" s="3" t="s">
        <v>23</v>
      </c>
      <c r="M129" s="6"/>
      <c r="N129" s="6"/>
      <c r="O129" s="45">
        <v>31800</v>
      </c>
      <c r="P129" s="40" t="s">
        <v>176</v>
      </c>
      <c r="Q129" s="44">
        <v>26.26</v>
      </c>
      <c r="R129" s="44">
        <v>26.26</v>
      </c>
      <c r="S129" t="s">
        <v>433</v>
      </c>
      <c r="T129">
        <f t="shared" si="4"/>
        <v>753662</v>
      </c>
      <c r="U129">
        <f t="shared" si="5"/>
        <v>3100</v>
      </c>
      <c r="V129">
        <f t="shared" si="6"/>
        <v>835068</v>
      </c>
      <c r="W129">
        <f t="shared" si="7"/>
        <v>81406</v>
      </c>
    </row>
    <row r="130" spans="1:23" x14ac:dyDescent="0.25">
      <c r="A130" s="204">
        <v>7203454549</v>
      </c>
      <c r="B130" s="204">
        <v>7203175930</v>
      </c>
      <c r="C130" s="126" t="s">
        <v>177</v>
      </c>
      <c r="D130" s="5">
        <v>6234000600</v>
      </c>
      <c r="E130" s="156">
        <v>44596</v>
      </c>
      <c r="F130" s="155">
        <v>26100</v>
      </c>
      <c r="G130" s="5" t="s">
        <v>421</v>
      </c>
      <c r="H130" s="204">
        <v>5501132737</v>
      </c>
      <c r="I130" s="44">
        <v>2600</v>
      </c>
      <c r="J130" s="42">
        <v>26.48</v>
      </c>
      <c r="K130" s="3" t="s">
        <v>16</v>
      </c>
      <c r="L130" s="3" t="s">
        <v>35</v>
      </c>
      <c r="M130" s="6"/>
      <c r="N130" s="6"/>
      <c r="O130" s="45">
        <v>31800</v>
      </c>
      <c r="P130" s="40" t="s">
        <v>176</v>
      </c>
      <c r="Q130" s="44">
        <v>26.48</v>
      </c>
      <c r="R130" s="44">
        <v>26.48</v>
      </c>
      <c r="S130" t="s">
        <v>433</v>
      </c>
      <c r="T130">
        <f t="shared" si="4"/>
        <v>759976</v>
      </c>
      <c r="U130">
        <f t="shared" si="5"/>
        <v>3100</v>
      </c>
      <c r="V130">
        <f t="shared" si="6"/>
        <v>842064</v>
      </c>
      <c r="W130">
        <f t="shared" si="7"/>
        <v>82088</v>
      </c>
    </row>
    <row r="131" spans="1:23" x14ac:dyDescent="0.25">
      <c r="A131" s="204">
        <v>7203454549</v>
      </c>
      <c r="B131" s="204">
        <v>7203175930</v>
      </c>
      <c r="C131" s="126" t="s">
        <v>177</v>
      </c>
      <c r="D131" s="5">
        <v>6234000600</v>
      </c>
      <c r="E131" s="156">
        <v>44596</v>
      </c>
      <c r="F131" s="155">
        <v>26100</v>
      </c>
      <c r="G131" s="5" t="s">
        <v>421</v>
      </c>
      <c r="H131" s="204">
        <v>5501132737</v>
      </c>
      <c r="I131" s="44">
        <v>2600</v>
      </c>
      <c r="J131" s="42">
        <v>26.22</v>
      </c>
      <c r="K131" s="3" t="s">
        <v>184</v>
      </c>
      <c r="L131" s="3" t="s">
        <v>228</v>
      </c>
      <c r="M131" s="6"/>
      <c r="N131" s="6"/>
      <c r="O131" s="45">
        <v>31800</v>
      </c>
      <c r="P131" s="40" t="s">
        <v>176</v>
      </c>
      <c r="Q131" s="44">
        <v>26.22</v>
      </c>
      <c r="R131" s="44">
        <v>26.22</v>
      </c>
      <c r="S131" t="s">
        <v>433</v>
      </c>
      <c r="T131">
        <f t="shared" ref="T131:T194" si="8">(I131+F131)*J131</f>
        <v>752514</v>
      </c>
      <c r="U131">
        <f t="shared" ref="U131:U194" si="9">O131-(F131+I131)</f>
        <v>3100</v>
      </c>
      <c r="V131">
        <f t="shared" ref="V131:V194" si="10">O131*J131</f>
        <v>833796</v>
      </c>
      <c r="W131">
        <f t="shared" ref="W131:W194" si="11">V131-T131</f>
        <v>81282</v>
      </c>
    </row>
    <row r="132" spans="1:23" x14ac:dyDescent="0.25">
      <c r="A132" s="204">
        <v>7203454549</v>
      </c>
      <c r="B132" s="204">
        <v>7203175930</v>
      </c>
      <c r="C132" s="126" t="s">
        <v>177</v>
      </c>
      <c r="D132" s="5">
        <v>6234000600</v>
      </c>
      <c r="E132" s="156">
        <v>44597</v>
      </c>
      <c r="F132" s="155">
        <v>26100</v>
      </c>
      <c r="G132" s="5" t="s">
        <v>421</v>
      </c>
      <c r="H132" s="204">
        <v>5503182532</v>
      </c>
      <c r="I132" s="44">
        <v>2400</v>
      </c>
      <c r="J132" s="42">
        <v>26.72</v>
      </c>
      <c r="K132" s="3" t="s">
        <v>2</v>
      </c>
      <c r="L132" s="3" t="s">
        <v>19</v>
      </c>
      <c r="M132" s="6"/>
      <c r="N132" s="6"/>
      <c r="O132" s="45">
        <v>31800</v>
      </c>
      <c r="P132" s="40" t="s">
        <v>176</v>
      </c>
      <c r="Q132" s="44">
        <v>26.72</v>
      </c>
      <c r="R132" s="44">
        <v>26.72</v>
      </c>
      <c r="S132" t="s">
        <v>433</v>
      </c>
      <c r="T132">
        <f t="shared" si="8"/>
        <v>761520</v>
      </c>
      <c r="U132">
        <f t="shared" si="9"/>
        <v>3300</v>
      </c>
      <c r="V132">
        <f t="shared" si="10"/>
        <v>849696</v>
      </c>
      <c r="W132">
        <f t="shared" si="11"/>
        <v>88176</v>
      </c>
    </row>
    <row r="133" spans="1:23" x14ac:dyDescent="0.25">
      <c r="A133" s="204">
        <v>7203454549</v>
      </c>
      <c r="B133" s="204">
        <v>7203175930</v>
      </c>
      <c r="C133" s="126" t="s">
        <v>177</v>
      </c>
      <c r="D133" s="5">
        <v>6234000600</v>
      </c>
      <c r="E133" s="156">
        <v>44597</v>
      </c>
      <c r="F133" s="155">
        <v>26100</v>
      </c>
      <c r="G133" s="5" t="s">
        <v>421</v>
      </c>
      <c r="H133" s="204">
        <v>5503182532</v>
      </c>
      <c r="I133" s="44">
        <v>2400</v>
      </c>
      <c r="J133" s="42">
        <v>26.26</v>
      </c>
      <c r="K133" s="3" t="s">
        <v>97</v>
      </c>
      <c r="L133" s="3" t="s">
        <v>229</v>
      </c>
      <c r="M133" s="6"/>
      <c r="N133" s="6"/>
      <c r="O133" s="45">
        <v>31800</v>
      </c>
      <c r="P133" s="40" t="s">
        <v>176</v>
      </c>
      <c r="Q133" s="44">
        <v>26.26</v>
      </c>
      <c r="R133" s="44">
        <v>26.26</v>
      </c>
      <c r="S133" t="s">
        <v>433</v>
      </c>
      <c r="T133">
        <f t="shared" si="8"/>
        <v>748410</v>
      </c>
      <c r="U133">
        <f t="shared" si="9"/>
        <v>3300</v>
      </c>
      <c r="V133">
        <f t="shared" si="10"/>
        <v>835068</v>
      </c>
      <c r="W133">
        <f t="shared" si="11"/>
        <v>86658</v>
      </c>
    </row>
    <row r="134" spans="1:23" x14ac:dyDescent="0.25">
      <c r="A134" s="204">
        <v>7203454549</v>
      </c>
      <c r="B134" s="204">
        <v>7203175930</v>
      </c>
      <c r="C134" s="126" t="s">
        <v>177</v>
      </c>
      <c r="D134" s="5">
        <v>6234000600</v>
      </c>
      <c r="E134" s="156">
        <v>44597</v>
      </c>
      <c r="F134" s="155">
        <v>26100</v>
      </c>
      <c r="G134" s="5" t="s">
        <v>421</v>
      </c>
      <c r="H134" s="204">
        <v>5507259666</v>
      </c>
      <c r="I134" s="44">
        <v>2400</v>
      </c>
      <c r="J134" s="42">
        <v>26.74</v>
      </c>
      <c r="K134" s="3" t="s">
        <v>185</v>
      </c>
      <c r="L134" s="3" t="s">
        <v>230</v>
      </c>
      <c r="M134" s="6"/>
      <c r="N134" s="6"/>
      <c r="O134" s="45">
        <v>31800</v>
      </c>
      <c r="P134" s="40" t="s">
        <v>176</v>
      </c>
      <c r="Q134" s="44">
        <v>26.74</v>
      </c>
      <c r="R134" s="44">
        <v>26.74</v>
      </c>
      <c r="S134" t="s">
        <v>433</v>
      </c>
      <c r="T134">
        <f t="shared" si="8"/>
        <v>762090</v>
      </c>
      <c r="U134">
        <f t="shared" si="9"/>
        <v>3300</v>
      </c>
      <c r="V134">
        <f t="shared" si="10"/>
        <v>850332</v>
      </c>
      <c r="W134">
        <f t="shared" si="11"/>
        <v>88242</v>
      </c>
    </row>
    <row r="135" spans="1:23" x14ac:dyDescent="0.25">
      <c r="A135" s="204">
        <v>7203454549</v>
      </c>
      <c r="B135" s="204">
        <v>7203175930</v>
      </c>
      <c r="C135" s="126" t="s">
        <v>177</v>
      </c>
      <c r="D135" s="5">
        <v>6234000600</v>
      </c>
      <c r="E135" s="156">
        <v>44597</v>
      </c>
      <c r="F135" s="155">
        <v>26100</v>
      </c>
      <c r="G135" s="5" t="s">
        <v>421</v>
      </c>
      <c r="H135" s="204">
        <v>5501132737</v>
      </c>
      <c r="I135" s="44">
        <v>2600</v>
      </c>
      <c r="J135" s="42">
        <v>26.3</v>
      </c>
      <c r="K135" s="3" t="s">
        <v>107</v>
      </c>
      <c r="L135" s="3" t="s">
        <v>125</v>
      </c>
      <c r="M135" s="6"/>
      <c r="N135" s="6"/>
      <c r="O135" s="45">
        <v>31800</v>
      </c>
      <c r="P135" s="40" t="s">
        <v>176</v>
      </c>
      <c r="Q135" s="44">
        <v>26.3</v>
      </c>
      <c r="R135" s="44">
        <v>26.3</v>
      </c>
      <c r="S135" t="s">
        <v>433</v>
      </c>
      <c r="T135">
        <f t="shared" si="8"/>
        <v>754810</v>
      </c>
      <c r="U135">
        <f t="shared" si="9"/>
        <v>3100</v>
      </c>
      <c r="V135">
        <f t="shared" si="10"/>
        <v>836340</v>
      </c>
      <c r="W135">
        <f t="shared" si="11"/>
        <v>81530</v>
      </c>
    </row>
    <row r="136" spans="1:23" x14ac:dyDescent="0.25">
      <c r="A136" s="204">
        <v>7203454549</v>
      </c>
      <c r="B136" s="204">
        <v>7203175930</v>
      </c>
      <c r="C136" s="126" t="s">
        <v>177</v>
      </c>
      <c r="D136" s="5">
        <v>6234000600</v>
      </c>
      <c r="E136" s="156">
        <v>44597</v>
      </c>
      <c r="F136" s="155">
        <v>26100</v>
      </c>
      <c r="G136" s="5" t="s">
        <v>421</v>
      </c>
      <c r="H136" s="204">
        <v>5501132737</v>
      </c>
      <c r="I136" s="44">
        <v>2600</v>
      </c>
      <c r="J136" s="42">
        <v>26.5</v>
      </c>
      <c r="K136" s="3" t="s">
        <v>186</v>
      </c>
      <c r="L136" s="3" t="s">
        <v>231</v>
      </c>
      <c r="M136" s="6"/>
      <c r="N136" s="6"/>
      <c r="O136" s="45">
        <v>31800</v>
      </c>
      <c r="P136" s="40" t="s">
        <v>176</v>
      </c>
      <c r="Q136" s="44">
        <v>26.5</v>
      </c>
      <c r="R136" s="44">
        <v>26.5</v>
      </c>
      <c r="S136" t="s">
        <v>433</v>
      </c>
      <c r="T136">
        <f t="shared" si="8"/>
        <v>760550</v>
      </c>
      <c r="U136">
        <f t="shared" si="9"/>
        <v>3100</v>
      </c>
      <c r="V136">
        <f t="shared" si="10"/>
        <v>842700</v>
      </c>
      <c r="W136">
        <f t="shared" si="11"/>
        <v>82150</v>
      </c>
    </row>
    <row r="137" spans="1:23" x14ac:dyDescent="0.25">
      <c r="A137" s="204">
        <v>7203454549</v>
      </c>
      <c r="B137" s="204">
        <v>7203175930</v>
      </c>
      <c r="C137" s="126" t="s">
        <v>177</v>
      </c>
      <c r="D137" s="5">
        <v>6234000600</v>
      </c>
      <c r="E137" s="156">
        <v>44597</v>
      </c>
      <c r="F137" s="155">
        <v>26100</v>
      </c>
      <c r="G137" s="5" t="s">
        <v>421</v>
      </c>
      <c r="H137" s="204">
        <v>5501132737</v>
      </c>
      <c r="I137" s="44">
        <v>2600</v>
      </c>
      <c r="J137" s="42">
        <v>26.44</v>
      </c>
      <c r="K137" s="3" t="s">
        <v>187</v>
      </c>
      <c r="L137" s="3" t="s">
        <v>232</v>
      </c>
      <c r="M137" s="6"/>
      <c r="N137" s="6"/>
      <c r="O137" s="45">
        <v>31800</v>
      </c>
      <c r="P137" s="40" t="s">
        <v>176</v>
      </c>
      <c r="Q137" s="44">
        <v>26.44</v>
      </c>
      <c r="R137" s="44">
        <v>26.44</v>
      </c>
      <c r="S137" t="s">
        <v>433</v>
      </c>
      <c r="T137">
        <f t="shared" si="8"/>
        <v>758828</v>
      </c>
      <c r="U137">
        <f t="shared" si="9"/>
        <v>3100</v>
      </c>
      <c r="V137">
        <f t="shared" si="10"/>
        <v>840792</v>
      </c>
      <c r="W137">
        <f t="shared" si="11"/>
        <v>81964</v>
      </c>
    </row>
    <row r="138" spans="1:23" x14ac:dyDescent="0.25">
      <c r="A138" s="204">
        <v>7203454549</v>
      </c>
      <c r="B138" s="204">
        <v>7203175930</v>
      </c>
      <c r="C138" s="126" t="s">
        <v>177</v>
      </c>
      <c r="D138" s="5">
        <v>6234000600</v>
      </c>
      <c r="E138" s="156">
        <v>44597</v>
      </c>
      <c r="F138" s="155">
        <v>26100</v>
      </c>
      <c r="G138" s="5" t="s">
        <v>421</v>
      </c>
      <c r="H138" s="204">
        <v>5501132737</v>
      </c>
      <c r="I138" s="44">
        <v>2600</v>
      </c>
      <c r="J138" s="42">
        <v>26.3</v>
      </c>
      <c r="K138" s="3" t="s">
        <v>188</v>
      </c>
      <c r="L138" s="3" t="s">
        <v>233</v>
      </c>
      <c r="M138" s="6"/>
      <c r="N138" s="6"/>
      <c r="O138" s="45">
        <v>31800</v>
      </c>
      <c r="P138" s="40" t="s">
        <v>176</v>
      </c>
      <c r="Q138" s="44">
        <v>26.3</v>
      </c>
      <c r="R138" s="44">
        <v>26.3</v>
      </c>
      <c r="S138" t="s">
        <v>433</v>
      </c>
      <c r="T138">
        <f t="shared" si="8"/>
        <v>754810</v>
      </c>
      <c r="U138">
        <f t="shared" si="9"/>
        <v>3100</v>
      </c>
      <c r="V138">
        <f t="shared" si="10"/>
        <v>836340</v>
      </c>
      <c r="W138">
        <f t="shared" si="11"/>
        <v>81530</v>
      </c>
    </row>
    <row r="139" spans="1:23" x14ac:dyDescent="0.25">
      <c r="A139" s="204">
        <v>7203454549</v>
      </c>
      <c r="B139" s="204">
        <v>7203175930</v>
      </c>
      <c r="C139" s="126" t="s">
        <v>177</v>
      </c>
      <c r="D139" s="5">
        <v>6234000600</v>
      </c>
      <c r="E139" s="156">
        <v>44597</v>
      </c>
      <c r="F139" s="155">
        <v>26100</v>
      </c>
      <c r="G139" s="5" t="s">
        <v>421</v>
      </c>
      <c r="H139" s="204">
        <v>5501132737</v>
      </c>
      <c r="I139" s="44">
        <v>2600</v>
      </c>
      <c r="J139" s="42">
        <v>26.28</v>
      </c>
      <c r="K139" s="3" t="s">
        <v>113</v>
      </c>
      <c r="L139" s="3" t="s">
        <v>129</v>
      </c>
      <c r="M139" s="6"/>
      <c r="N139" s="6"/>
      <c r="O139" s="45">
        <v>31800</v>
      </c>
      <c r="P139" s="40" t="s">
        <v>176</v>
      </c>
      <c r="Q139" s="44">
        <v>26.28</v>
      </c>
      <c r="R139" s="44">
        <v>26.28</v>
      </c>
      <c r="S139" t="s">
        <v>433</v>
      </c>
      <c r="T139">
        <f t="shared" si="8"/>
        <v>754236</v>
      </c>
      <c r="U139">
        <f t="shared" si="9"/>
        <v>3100</v>
      </c>
      <c r="V139">
        <f t="shared" si="10"/>
        <v>835704</v>
      </c>
      <c r="W139">
        <f t="shared" si="11"/>
        <v>81468</v>
      </c>
    </row>
    <row r="140" spans="1:23" x14ac:dyDescent="0.25">
      <c r="A140" s="204">
        <v>7203454549</v>
      </c>
      <c r="B140" s="204">
        <v>7203175930</v>
      </c>
      <c r="C140" s="126" t="s">
        <v>177</v>
      </c>
      <c r="D140" s="5">
        <v>6234000600</v>
      </c>
      <c r="E140" s="156">
        <v>44597</v>
      </c>
      <c r="F140" s="155">
        <v>26100</v>
      </c>
      <c r="G140" s="5" t="s">
        <v>421</v>
      </c>
      <c r="H140" s="204">
        <v>5501132737</v>
      </c>
      <c r="I140" s="44">
        <v>2600</v>
      </c>
      <c r="J140" s="42">
        <v>26.58</v>
      </c>
      <c r="K140" s="3" t="s">
        <v>189</v>
      </c>
      <c r="L140" s="3" t="s">
        <v>234</v>
      </c>
      <c r="M140" s="6"/>
      <c r="N140" s="6"/>
      <c r="O140" s="45">
        <v>31800</v>
      </c>
      <c r="P140" s="40" t="s">
        <v>176</v>
      </c>
      <c r="Q140" s="44">
        <v>26.58</v>
      </c>
      <c r="R140" s="44">
        <v>26.58</v>
      </c>
      <c r="S140" t="s">
        <v>433</v>
      </c>
      <c r="T140">
        <f t="shared" si="8"/>
        <v>762846</v>
      </c>
      <c r="U140">
        <f t="shared" si="9"/>
        <v>3100</v>
      </c>
      <c r="V140">
        <f t="shared" si="10"/>
        <v>845244</v>
      </c>
      <c r="W140">
        <f t="shared" si="11"/>
        <v>82398</v>
      </c>
    </row>
    <row r="141" spans="1:23" x14ac:dyDescent="0.25">
      <c r="A141" s="204">
        <v>7203454549</v>
      </c>
      <c r="B141" s="204">
        <v>7203175930</v>
      </c>
      <c r="C141" s="126" t="s">
        <v>177</v>
      </c>
      <c r="D141" s="5">
        <v>6234000600</v>
      </c>
      <c r="E141" s="156">
        <v>44597</v>
      </c>
      <c r="F141" s="155">
        <v>26100</v>
      </c>
      <c r="G141" s="5" t="s">
        <v>421</v>
      </c>
      <c r="H141" s="204">
        <v>5501132737</v>
      </c>
      <c r="I141" s="44">
        <v>2600</v>
      </c>
      <c r="J141" s="42">
        <v>26.36</v>
      </c>
      <c r="K141" s="3" t="s">
        <v>190</v>
      </c>
      <c r="L141" s="3" t="s">
        <v>235</v>
      </c>
      <c r="M141" s="6"/>
      <c r="N141" s="6"/>
      <c r="O141" s="45">
        <v>31800</v>
      </c>
      <c r="P141" s="40" t="s">
        <v>176</v>
      </c>
      <c r="Q141" s="44">
        <v>26.36</v>
      </c>
      <c r="R141" s="44">
        <v>26.36</v>
      </c>
      <c r="S141" t="s">
        <v>433</v>
      </c>
      <c r="T141">
        <f t="shared" si="8"/>
        <v>756532</v>
      </c>
      <c r="U141">
        <f t="shared" si="9"/>
        <v>3100</v>
      </c>
      <c r="V141">
        <f t="shared" si="10"/>
        <v>838248</v>
      </c>
      <c r="W141">
        <f t="shared" si="11"/>
        <v>81716</v>
      </c>
    </row>
    <row r="142" spans="1:23" x14ac:dyDescent="0.25">
      <c r="A142" s="204">
        <v>7203454549</v>
      </c>
      <c r="B142" s="204">
        <v>7203175930</v>
      </c>
      <c r="C142" s="126" t="s">
        <v>177</v>
      </c>
      <c r="D142" s="5">
        <v>6234000600</v>
      </c>
      <c r="E142" s="156">
        <v>44598</v>
      </c>
      <c r="F142" s="155">
        <v>26100</v>
      </c>
      <c r="G142" s="5" t="s">
        <v>421</v>
      </c>
      <c r="H142" s="204">
        <v>5501132737</v>
      </c>
      <c r="I142" s="44">
        <v>2600</v>
      </c>
      <c r="J142" s="42">
        <v>24.28</v>
      </c>
      <c r="K142" s="3" t="s">
        <v>182</v>
      </c>
      <c r="L142" s="3" t="s">
        <v>226</v>
      </c>
      <c r="M142" s="6"/>
      <c r="N142" s="6"/>
      <c r="O142" s="45">
        <v>31800</v>
      </c>
      <c r="P142" s="40" t="s">
        <v>176</v>
      </c>
      <c r="Q142" s="44">
        <v>24.28</v>
      </c>
      <c r="R142" s="44">
        <v>24.28</v>
      </c>
      <c r="S142" t="s">
        <v>433</v>
      </c>
      <c r="T142">
        <f t="shared" si="8"/>
        <v>696836</v>
      </c>
      <c r="U142">
        <f t="shared" si="9"/>
        <v>3100</v>
      </c>
      <c r="V142">
        <f t="shared" si="10"/>
        <v>772104</v>
      </c>
      <c r="W142">
        <f t="shared" si="11"/>
        <v>75268</v>
      </c>
    </row>
    <row r="143" spans="1:23" x14ac:dyDescent="0.25">
      <c r="A143" s="204">
        <v>7203454549</v>
      </c>
      <c r="B143" s="204">
        <v>7203175930</v>
      </c>
      <c r="C143" s="126" t="s">
        <v>177</v>
      </c>
      <c r="D143" s="5">
        <v>6234000600</v>
      </c>
      <c r="E143" s="156">
        <v>44598</v>
      </c>
      <c r="F143" s="155">
        <v>26100</v>
      </c>
      <c r="G143" s="5" t="s">
        <v>421</v>
      </c>
      <c r="H143" s="204">
        <v>5501132737</v>
      </c>
      <c r="I143" s="44">
        <v>2600</v>
      </c>
      <c r="J143" s="42">
        <v>24.24</v>
      </c>
      <c r="K143" s="3" t="s">
        <v>183</v>
      </c>
      <c r="L143" s="3" t="s">
        <v>227</v>
      </c>
      <c r="M143" s="6"/>
      <c r="N143" s="6"/>
      <c r="O143" s="45">
        <v>31800</v>
      </c>
      <c r="P143" s="40" t="s">
        <v>176</v>
      </c>
      <c r="Q143" s="44">
        <v>24.24</v>
      </c>
      <c r="R143" s="44">
        <v>24.24</v>
      </c>
      <c r="S143" t="s">
        <v>433</v>
      </c>
      <c r="T143">
        <f t="shared" si="8"/>
        <v>695688</v>
      </c>
      <c r="U143">
        <f t="shared" si="9"/>
        <v>3100</v>
      </c>
      <c r="V143">
        <f t="shared" si="10"/>
        <v>770832</v>
      </c>
      <c r="W143">
        <f t="shared" si="11"/>
        <v>75144</v>
      </c>
    </row>
    <row r="144" spans="1:23" x14ac:dyDescent="0.25">
      <c r="A144" s="204">
        <v>7203454549</v>
      </c>
      <c r="B144" s="204">
        <v>7203175930</v>
      </c>
      <c r="C144" s="126" t="s">
        <v>177</v>
      </c>
      <c r="D144" s="5">
        <v>6234000600</v>
      </c>
      <c r="E144" s="156">
        <v>44598</v>
      </c>
      <c r="F144" s="155">
        <v>26100</v>
      </c>
      <c r="G144" s="5" t="s">
        <v>421</v>
      </c>
      <c r="H144" s="204">
        <v>5501132737</v>
      </c>
      <c r="I144" s="44">
        <v>2600</v>
      </c>
      <c r="J144" s="42">
        <v>26.24</v>
      </c>
      <c r="K144" s="3" t="s">
        <v>17</v>
      </c>
      <c r="L144" s="3" t="s">
        <v>36</v>
      </c>
      <c r="M144" s="6"/>
      <c r="N144" s="6"/>
      <c r="O144" s="45">
        <v>31800</v>
      </c>
      <c r="P144" s="40" t="s">
        <v>176</v>
      </c>
      <c r="Q144" s="44">
        <v>26.24</v>
      </c>
      <c r="R144" s="44">
        <v>26.24</v>
      </c>
      <c r="S144" t="s">
        <v>433</v>
      </c>
      <c r="T144">
        <f t="shared" si="8"/>
        <v>753088</v>
      </c>
      <c r="U144">
        <f t="shared" si="9"/>
        <v>3100</v>
      </c>
      <c r="V144">
        <f t="shared" si="10"/>
        <v>834432</v>
      </c>
      <c r="W144">
        <f t="shared" si="11"/>
        <v>81344</v>
      </c>
    </row>
    <row r="145" spans="1:23" x14ac:dyDescent="0.25">
      <c r="A145" s="204">
        <v>7203454549</v>
      </c>
      <c r="B145" s="204">
        <v>7203175930</v>
      </c>
      <c r="C145" s="126" t="s">
        <v>177</v>
      </c>
      <c r="D145" s="5">
        <v>6234000600</v>
      </c>
      <c r="E145" s="156">
        <v>44598</v>
      </c>
      <c r="F145" s="155">
        <v>26100</v>
      </c>
      <c r="G145" s="5" t="s">
        <v>421</v>
      </c>
      <c r="H145" s="204">
        <v>5501132737</v>
      </c>
      <c r="I145" s="44">
        <v>2600</v>
      </c>
      <c r="J145" s="42">
        <v>26.6</v>
      </c>
      <c r="K145" s="3" t="s">
        <v>191</v>
      </c>
      <c r="L145" s="3"/>
      <c r="M145" s="6"/>
      <c r="N145" s="6"/>
      <c r="O145" s="45">
        <v>31800</v>
      </c>
      <c r="P145" s="40" t="s">
        <v>176</v>
      </c>
      <c r="Q145" s="44">
        <v>26.6</v>
      </c>
      <c r="R145" s="44">
        <v>26.6</v>
      </c>
      <c r="S145" t="s">
        <v>433</v>
      </c>
      <c r="T145">
        <f t="shared" si="8"/>
        <v>763420</v>
      </c>
      <c r="U145">
        <f t="shared" si="9"/>
        <v>3100</v>
      </c>
      <c r="V145">
        <f t="shared" si="10"/>
        <v>845880</v>
      </c>
      <c r="W145">
        <f t="shared" si="11"/>
        <v>82460</v>
      </c>
    </row>
    <row r="146" spans="1:23" x14ac:dyDescent="0.25">
      <c r="A146" s="204">
        <v>7203454549</v>
      </c>
      <c r="B146" s="204">
        <v>7203175930</v>
      </c>
      <c r="C146" s="126" t="s">
        <v>177</v>
      </c>
      <c r="D146" s="5">
        <v>6234000600</v>
      </c>
      <c r="E146" s="156">
        <v>44598</v>
      </c>
      <c r="F146" s="155">
        <v>26100</v>
      </c>
      <c r="G146" s="5" t="s">
        <v>421</v>
      </c>
      <c r="H146" s="204">
        <v>5501132737</v>
      </c>
      <c r="I146" s="44">
        <v>2600</v>
      </c>
      <c r="J146" s="42">
        <v>26.24</v>
      </c>
      <c r="K146" s="3" t="s">
        <v>6</v>
      </c>
      <c r="L146" s="3" t="s">
        <v>23</v>
      </c>
      <c r="M146" s="6"/>
      <c r="N146" s="6"/>
      <c r="O146" s="45">
        <v>31800</v>
      </c>
      <c r="P146" s="40" t="s">
        <v>176</v>
      </c>
      <c r="Q146" s="44">
        <v>26.24</v>
      </c>
      <c r="R146" s="44">
        <v>26.24</v>
      </c>
      <c r="S146" t="s">
        <v>433</v>
      </c>
      <c r="T146">
        <f t="shared" si="8"/>
        <v>753088</v>
      </c>
      <c r="U146">
        <f t="shared" si="9"/>
        <v>3100</v>
      </c>
      <c r="V146">
        <f t="shared" si="10"/>
        <v>834432</v>
      </c>
      <c r="W146">
        <f t="shared" si="11"/>
        <v>81344</v>
      </c>
    </row>
    <row r="147" spans="1:23" x14ac:dyDescent="0.25">
      <c r="A147" s="204">
        <v>7203454549</v>
      </c>
      <c r="B147" s="204">
        <v>7203175930</v>
      </c>
      <c r="C147" s="126" t="s">
        <v>177</v>
      </c>
      <c r="D147" s="5">
        <v>6234000600</v>
      </c>
      <c r="E147" s="156">
        <v>44599</v>
      </c>
      <c r="F147" s="155">
        <v>26100</v>
      </c>
      <c r="G147" s="5" t="s">
        <v>421</v>
      </c>
      <c r="H147" s="204">
        <v>5501132737</v>
      </c>
      <c r="I147" s="44">
        <v>2600</v>
      </c>
      <c r="J147" s="42">
        <v>24.12</v>
      </c>
      <c r="K147" s="3" t="s">
        <v>178</v>
      </c>
      <c r="L147" s="3" t="s">
        <v>222</v>
      </c>
      <c r="M147" s="6"/>
      <c r="N147" s="6"/>
      <c r="O147" s="45">
        <v>31800</v>
      </c>
      <c r="P147" s="40" t="s">
        <v>176</v>
      </c>
      <c r="Q147" s="44">
        <v>24.12</v>
      </c>
      <c r="R147" s="44">
        <v>24.12</v>
      </c>
      <c r="S147" t="s">
        <v>433</v>
      </c>
      <c r="T147">
        <f t="shared" si="8"/>
        <v>692244</v>
      </c>
      <c r="U147">
        <f t="shared" si="9"/>
        <v>3100</v>
      </c>
      <c r="V147">
        <f t="shared" si="10"/>
        <v>767016</v>
      </c>
      <c r="W147">
        <f t="shared" si="11"/>
        <v>74772</v>
      </c>
    </row>
    <row r="148" spans="1:23" x14ac:dyDescent="0.25">
      <c r="A148" s="204">
        <v>7203454549</v>
      </c>
      <c r="B148" s="204">
        <v>7203175930</v>
      </c>
      <c r="C148" s="126" t="s">
        <v>177</v>
      </c>
      <c r="D148" s="5">
        <v>6234000600</v>
      </c>
      <c r="E148" s="156">
        <v>44599</v>
      </c>
      <c r="F148" s="155">
        <v>26500</v>
      </c>
      <c r="G148" s="5" t="s">
        <v>421</v>
      </c>
      <c r="H148" s="204">
        <v>5501132737</v>
      </c>
      <c r="I148" s="44">
        <v>2600</v>
      </c>
      <c r="J148" s="42">
        <v>25.02</v>
      </c>
      <c r="K148" s="3" t="s">
        <v>192</v>
      </c>
      <c r="L148" s="3" t="s">
        <v>236</v>
      </c>
      <c r="M148" s="6"/>
      <c r="N148" s="6"/>
      <c r="O148" s="45">
        <v>31800</v>
      </c>
      <c r="P148" s="40" t="s">
        <v>176</v>
      </c>
      <c r="Q148" s="44">
        <v>25.02</v>
      </c>
      <c r="R148" s="44">
        <v>25.02</v>
      </c>
      <c r="S148" t="s">
        <v>433</v>
      </c>
      <c r="T148">
        <f t="shared" si="8"/>
        <v>728082</v>
      </c>
      <c r="U148">
        <f t="shared" si="9"/>
        <v>2700</v>
      </c>
      <c r="V148">
        <f t="shared" si="10"/>
        <v>795636</v>
      </c>
      <c r="W148">
        <f t="shared" si="11"/>
        <v>67554</v>
      </c>
    </row>
    <row r="149" spans="1:23" x14ac:dyDescent="0.25">
      <c r="A149" s="204">
        <v>7203454549</v>
      </c>
      <c r="B149" s="204">
        <v>7203175930</v>
      </c>
      <c r="C149" s="126" t="s">
        <v>177</v>
      </c>
      <c r="D149" s="5">
        <v>6234000600</v>
      </c>
      <c r="E149" s="156">
        <v>44599</v>
      </c>
      <c r="F149" s="155">
        <v>26500</v>
      </c>
      <c r="G149" s="5" t="s">
        <v>421</v>
      </c>
      <c r="H149" s="204">
        <v>5501208190</v>
      </c>
      <c r="I149" s="44">
        <v>2400</v>
      </c>
      <c r="J149" s="42">
        <v>26.54</v>
      </c>
      <c r="K149" s="3" t="s">
        <v>111</v>
      </c>
      <c r="L149" s="3" t="s">
        <v>128</v>
      </c>
      <c r="M149" s="6"/>
      <c r="N149" s="6"/>
      <c r="O149" s="45">
        <v>31800</v>
      </c>
      <c r="P149" s="40" t="s">
        <v>176</v>
      </c>
      <c r="Q149" s="44">
        <v>26.54</v>
      </c>
      <c r="R149" s="44">
        <v>26.54</v>
      </c>
      <c r="S149" t="s">
        <v>433</v>
      </c>
      <c r="T149">
        <f t="shared" si="8"/>
        <v>767006</v>
      </c>
      <c r="U149">
        <f t="shared" si="9"/>
        <v>2900</v>
      </c>
      <c r="V149">
        <f t="shared" si="10"/>
        <v>843972</v>
      </c>
      <c r="W149">
        <f t="shared" si="11"/>
        <v>76966</v>
      </c>
    </row>
    <row r="150" spans="1:23" x14ac:dyDescent="0.25">
      <c r="A150" s="204">
        <v>7203454549</v>
      </c>
      <c r="B150" s="204">
        <v>7203175930</v>
      </c>
      <c r="C150" s="126" t="s">
        <v>177</v>
      </c>
      <c r="D150" s="5">
        <v>6234000600</v>
      </c>
      <c r="E150" s="156">
        <v>44599</v>
      </c>
      <c r="F150" s="155">
        <v>26500</v>
      </c>
      <c r="G150" s="5" t="s">
        <v>421</v>
      </c>
      <c r="H150" s="204">
        <v>5501208190</v>
      </c>
      <c r="I150" s="44">
        <v>2400</v>
      </c>
      <c r="J150" s="42">
        <v>26.68</v>
      </c>
      <c r="K150" s="3" t="s">
        <v>101</v>
      </c>
      <c r="L150" s="3" t="s">
        <v>119</v>
      </c>
      <c r="M150" s="6"/>
      <c r="N150" s="6"/>
      <c r="O150" s="45">
        <v>31800</v>
      </c>
      <c r="P150" s="40" t="s">
        <v>176</v>
      </c>
      <c r="Q150" s="44">
        <v>26.68</v>
      </c>
      <c r="R150" s="44">
        <v>26.68</v>
      </c>
      <c r="S150" t="s">
        <v>433</v>
      </c>
      <c r="T150">
        <f t="shared" si="8"/>
        <v>771052</v>
      </c>
      <c r="U150">
        <f t="shared" si="9"/>
        <v>2900</v>
      </c>
      <c r="V150">
        <f t="shared" si="10"/>
        <v>848424</v>
      </c>
      <c r="W150">
        <f t="shared" si="11"/>
        <v>77372</v>
      </c>
    </row>
    <row r="151" spans="1:23" x14ac:dyDescent="0.25">
      <c r="A151" s="204">
        <v>7203454549</v>
      </c>
      <c r="B151" s="204">
        <v>7203175930</v>
      </c>
      <c r="C151" s="126" t="s">
        <v>177</v>
      </c>
      <c r="D151" s="5">
        <v>6234000600</v>
      </c>
      <c r="E151" s="156">
        <v>44599</v>
      </c>
      <c r="F151" s="155">
        <v>26500</v>
      </c>
      <c r="G151" s="5" t="s">
        <v>421</v>
      </c>
      <c r="H151" s="204">
        <v>5501208190</v>
      </c>
      <c r="I151" s="44">
        <v>2400</v>
      </c>
      <c r="J151" s="42">
        <v>26.44</v>
      </c>
      <c r="K151" s="3" t="s">
        <v>112</v>
      </c>
      <c r="L151" s="3" t="s">
        <v>221</v>
      </c>
      <c r="M151" s="6"/>
      <c r="N151" s="6"/>
      <c r="O151" s="45">
        <v>31800</v>
      </c>
      <c r="P151" s="40" t="s">
        <v>176</v>
      </c>
      <c r="Q151" s="44">
        <v>26.44</v>
      </c>
      <c r="R151" s="44">
        <v>26.44</v>
      </c>
      <c r="S151" t="s">
        <v>433</v>
      </c>
      <c r="T151">
        <f t="shared" si="8"/>
        <v>764116</v>
      </c>
      <c r="U151">
        <f t="shared" si="9"/>
        <v>2900</v>
      </c>
      <c r="V151">
        <f t="shared" si="10"/>
        <v>840792</v>
      </c>
      <c r="W151">
        <f t="shared" si="11"/>
        <v>76676</v>
      </c>
    </row>
    <row r="152" spans="1:23" x14ac:dyDescent="0.25">
      <c r="A152" s="204">
        <v>7203454549</v>
      </c>
      <c r="B152" s="204">
        <v>7203175930</v>
      </c>
      <c r="C152" s="126" t="s">
        <v>177</v>
      </c>
      <c r="D152" s="5">
        <v>6234000600</v>
      </c>
      <c r="E152" s="156">
        <v>44600</v>
      </c>
      <c r="F152" s="155">
        <v>26100</v>
      </c>
      <c r="G152" s="5" t="s">
        <v>421</v>
      </c>
      <c r="H152" s="204">
        <v>5501208190</v>
      </c>
      <c r="I152" s="44">
        <v>2400</v>
      </c>
      <c r="J152" s="42">
        <v>26.5</v>
      </c>
      <c r="K152" s="3" t="s">
        <v>3</v>
      </c>
      <c r="L152" s="3" t="s">
        <v>20</v>
      </c>
      <c r="M152" s="6"/>
      <c r="N152" s="6"/>
      <c r="O152" s="45">
        <v>31800</v>
      </c>
      <c r="P152" s="40" t="s">
        <v>176</v>
      </c>
      <c r="Q152" s="44">
        <v>26.5</v>
      </c>
      <c r="R152" s="44">
        <v>26.5</v>
      </c>
      <c r="S152" t="s">
        <v>433</v>
      </c>
      <c r="T152">
        <f t="shared" si="8"/>
        <v>755250</v>
      </c>
      <c r="U152">
        <f t="shared" si="9"/>
        <v>3300</v>
      </c>
      <c r="V152">
        <f t="shared" si="10"/>
        <v>842700</v>
      </c>
      <c r="W152">
        <f t="shared" si="11"/>
        <v>87450</v>
      </c>
    </row>
    <row r="153" spans="1:23" x14ac:dyDescent="0.25">
      <c r="A153" s="204">
        <v>7203454549</v>
      </c>
      <c r="B153" s="204">
        <v>7203175930</v>
      </c>
      <c r="C153" s="126" t="s">
        <v>177</v>
      </c>
      <c r="D153" s="5">
        <v>6234000600</v>
      </c>
      <c r="E153" s="156">
        <v>44600</v>
      </c>
      <c r="F153" s="155">
        <v>26100</v>
      </c>
      <c r="G153" s="5" t="s">
        <v>421</v>
      </c>
      <c r="H153" s="204">
        <v>5501208190</v>
      </c>
      <c r="I153" s="44">
        <v>2400</v>
      </c>
      <c r="J153" s="42">
        <v>26.56</v>
      </c>
      <c r="K153" s="3" t="s">
        <v>193</v>
      </c>
      <c r="L153" s="3"/>
      <c r="M153" s="6"/>
      <c r="N153" s="6"/>
      <c r="O153" s="45">
        <v>31800</v>
      </c>
      <c r="P153" s="40" t="s">
        <v>176</v>
      </c>
      <c r="Q153" s="44">
        <v>26.56</v>
      </c>
      <c r="R153" s="44">
        <v>26.56</v>
      </c>
      <c r="S153" t="s">
        <v>433</v>
      </c>
      <c r="T153">
        <f t="shared" si="8"/>
        <v>756960</v>
      </c>
      <c r="U153">
        <f t="shared" si="9"/>
        <v>3300</v>
      </c>
      <c r="V153">
        <f t="shared" si="10"/>
        <v>844608</v>
      </c>
      <c r="W153">
        <f t="shared" si="11"/>
        <v>87648</v>
      </c>
    </row>
    <row r="154" spans="1:23" x14ac:dyDescent="0.25">
      <c r="A154" s="204">
        <v>7203454549</v>
      </c>
      <c r="B154" s="204">
        <v>7203175930</v>
      </c>
      <c r="C154" s="126" t="s">
        <v>177</v>
      </c>
      <c r="D154" s="5">
        <v>6234000600</v>
      </c>
      <c r="E154" s="156">
        <v>44600</v>
      </c>
      <c r="F154" s="155">
        <v>26100</v>
      </c>
      <c r="G154" s="5" t="s">
        <v>421</v>
      </c>
      <c r="H154" s="204">
        <v>5501208190</v>
      </c>
      <c r="I154" s="44">
        <v>2400</v>
      </c>
      <c r="J154" s="42">
        <v>26.52</v>
      </c>
      <c r="K154" s="3" t="s">
        <v>105</v>
      </c>
      <c r="L154" s="3" t="s">
        <v>123</v>
      </c>
      <c r="M154" s="6"/>
      <c r="N154" s="6"/>
      <c r="O154" s="45">
        <v>31800</v>
      </c>
      <c r="P154" s="40" t="s">
        <v>176</v>
      </c>
      <c r="Q154" s="44">
        <v>26.52</v>
      </c>
      <c r="R154" s="44">
        <v>26.52</v>
      </c>
      <c r="S154" t="s">
        <v>433</v>
      </c>
      <c r="T154">
        <f t="shared" si="8"/>
        <v>755820</v>
      </c>
      <c r="U154">
        <f t="shared" si="9"/>
        <v>3300</v>
      </c>
      <c r="V154">
        <f t="shared" si="10"/>
        <v>843336</v>
      </c>
      <c r="W154">
        <f t="shared" si="11"/>
        <v>87516</v>
      </c>
    </row>
    <row r="155" spans="1:23" x14ac:dyDescent="0.25">
      <c r="A155" s="204">
        <v>7203454549</v>
      </c>
      <c r="B155" s="204">
        <v>7203175930</v>
      </c>
      <c r="C155" s="126" t="s">
        <v>177</v>
      </c>
      <c r="D155" s="5">
        <v>6234000600</v>
      </c>
      <c r="E155" s="156">
        <v>44600</v>
      </c>
      <c r="F155" s="155">
        <v>26100</v>
      </c>
      <c r="G155" s="5" t="s">
        <v>421</v>
      </c>
      <c r="H155" s="204">
        <v>5501132737</v>
      </c>
      <c r="I155" s="44">
        <v>2600</v>
      </c>
      <c r="J155" s="42">
        <v>26.62</v>
      </c>
      <c r="K155" s="3" t="s">
        <v>190</v>
      </c>
      <c r="L155" s="3" t="s">
        <v>235</v>
      </c>
      <c r="M155" s="6"/>
      <c r="N155" s="6"/>
      <c r="O155" s="45">
        <v>31800</v>
      </c>
      <c r="P155" s="40" t="s">
        <v>176</v>
      </c>
      <c r="Q155" s="44">
        <v>26.62</v>
      </c>
      <c r="R155" s="44">
        <v>26.62</v>
      </c>
      <c r="S155" t="s">
        <v>433</v>
      </c>
      <c r="T155">
        <f t="shared" si="8"/>
        <v>763994</v>
      </c>
      <c r="U155">
        <f t="shared" si="9"/>
        <v>3100</v>
      </c>
      <c r="V155">
        <f t="shared" si="10"/>
        <v>846516</v>
      </c>
      <c r="W155">
        <f t="shared" si="11"/>
        <v>82522</v>
      </c>
    </row>
    <row r="156" spans="1:23" x14ac:dyDescent="0.25">
      <c r="A156" s="204">
        <v>7203454549</v>
      </c>
      <c r="B156" s="204">
        <v>7203175930</v>
      </c>
      <c r="C156" s="126" t="s">
        <v>177</v>
      </c>
      <c r="D156" s="5">
        <v>6234000600</v>
      </c>
      <c r="E156" s="156">
        <v>44600</v>
      </c>
      <c r="F156" s="155">
        <v>26500</v>
      </c>
      <c r="G156" s="5" t="s">
        <v>421</v>
      </c>
      <c r="H156" s="204">
        <v>5501132737</v>
      </c>
      <c r="I156" s="44">
        <v>2600</v>
      </c>
      <c r="J156" s="42">
        <v>26.58</v>
      </c>
      <c r="K156" s="3" t="s">
        <v>194</v>
      </c>
      <c r="L156" s="3" t="s">
        <v>237</v>
      </c>
      <c r="M156" s="6"/>
      <c r="N156" s="6"/>
      <c r="O156" s="45">
        <v>31800</v>
      </c>
      <c r="P156" s="40" t="s">
        <v>176</v>
      </c>
      <c r="Q156" s="44">
        <v>26.58</v>
      </c>
      <c r="R156" s="44">
        <v>26.58</v>
      </c>
      <c r="S156" t="s">
        <v>433</v>
      </c>
      <c r="T156">
        <f t="shared" si="8"/>
        <v>773478</v>
      </c>
      <c r="U156">
        <f t="shared" si="9"/>
        <v>2700</v>
      </c>
      <c r="V156">
        <f t="shared" si="10"/>
        <v>845244</v>
      </c>
      <c r="W156">
        <f t="shared" si="11"/>
        <v>71766</v>
      </c>
    </row>
    <row r="157" spans="1:23" x14ac:dyDescent="0.25">
      <c r="A157" s="204">
        <v>7203454549</v>
      </c>
      <c r="B157" s="204">
        <v>7203175930</v>
      </c>
      <c r="C157" s="126" t="s">
        <v>177</v>
      </c>
      <c r="D157" s="5">
        <v>6234000600</v>
      </c>
      <c r="E157" s="156">
        <v>44600</v>
      </c>
      <c r="F157" s="155">
        <v>26500</v>
      </c>
      <c r="G157" s="5" t="s">
        <v>421</v>
      </c>
      <c r="H157" s="204">
        <v>5501132737</v>
      </c>
      <c r="I157" s="44">
        <v>2600</v>
      </c>
      <c r="J157" s="42">
        <v>25.3</v>
      </c>
      <c r="K157" s="3" t="s">
        <v>195</v>
      </c>
      <c r="L157" s="3" t="s">
        <v>238</v>
      </c>
      <c r="M157" s="6"/>
      <c r="N157" s="6"/>
      <c r="O157" s="45">
        <v>31800</v>
      </c>
      <c r="P157" s="40" t="s">
        <v>176</v>
      </c>
      <c r="Q157" s="44">
        <v>25.3</v>
      </c>
      <c r="R157" s="44">
        <v>25.3</v>
      </c>
      <c r="S157" t="s">
        <v>433</v>
      </c>
      <c r="T157">
        <f t="shared" si="8"/>
        <v>736230</v>
      </c>
      <c r="U157">
        <f t="shared" si="9"/>
        <v>2700</v>
      </c>
      <c r="V157">
        <f t="shared" si="10"/>
        <v>804540</v>
      </c>
      <c r="W157">
        <f t="shared" si="11"/>
        <v>68310</v>
      </c>
    </row>
    <row r="158" spans="1:23" x14ac:dyDescent="0.25">
      <c r="A158" s="204">
        <v>7203454549</v>
      </c>
      <c r="B158" s="204">
        <v>7203175930</v>
      </c>
      <c r="C158" s="126" t="s">
        <v>177</v>
      </c>
      <c r="D158" s="5">
        <v>6234000600</v>
      </c>
      <c r="E158" s="156">
        <v>44601</v>
      </c>
      <c r="F158" s="155">
        <v>26100</v>
      </c>
      <c r="G158" s="5" t="s">
        <v>421</v>
      </c>
      <c r="H158" s="204">
        <v>5501132737</v>
      </c>
      <c r="I158" s="44">
        <v>2600</v>
      </c>
      <c r="J158" s="42">
        <v>24.18</v>
      </c>
      <c r="K158" s="3" t="s">
        <v>182</v>
      </c>
      <c r="L158" s="3" t="s">
        <v>226</v>
      </c>
      <c r="M158" s="6"/>
      <c r="N158" s="6"/>
      <c r="O158" s="45">
        <v>31800</v>
      </c>
      <c r="P158" s="40" t="s">
        <v>176</v>
      </c>
      <c r="Q158" s="44">
        <v>24.18</v>
      </c>
      <c r="R158" s="44">
        <v>24.18</v>
      </c>
      <c r="S158" t="s">
        <v>433</v>
      </c>
      <c r="T158">
        <f t="shared" si="8"/>
        <v>693966</v>
      </c>
      <c r="U158">
        <f t="shared" si="9"/>
        <v>3100</v>
      </c>
      <c r="V158">
        <f t="shared" si="10"/>
        <v>768924</v>
      </c>
      <c r="W158">
        <f t="shared" si="11"/>
        <v>74958</v>
      </c>
    </row>
    <row r="159" spans="1:23" x14ac:dyDescent="0.25">
      <c r="A159" s="204">
        <v>7203454549</v>
      </c>
      <c r="B159" s="204">
        <v>7203175930</v>
      </c>
      <c r="C159" s="126" t="s">
        <v>177</v>
      </c>
      <c r="D159" s="5">
        <v>6234000600</v>
      </c>
      <c r="E159" s="156">
        <v>44601</v>
      </c>
      <c r="F159" s="155">
        <v>26100</v>
      </c>
      <c r="G159" s="5" t="s">
        <v>421</v>
      </c>
      <c r="H159" s="204">
        <v>5501132737</v>
      </c>
      <c r="I159" s="44">
        <v>2600</v>
      </c>
      <c r="J159" s="42">
        <v>25.24</v>
      </c>
      <c r="K159" s="3" t="s">
        <v>192</v>
      </c>
      <c r="L159" s="3" t="s">
        <v>236</v>
      </c>
      <c r="M159" s="6"/>
      <c r="N159" s="6"/>
      <c r="O159" s="45">
        <v>31800</v>
      </c>
      <c r="P159" s="40" t="s">
        <v>176</v>
      </c>
      <c r="Q159" s="44">
        <v>25.24</v>
      </c>
      <c r="R159" s="44">
        <v>25.24</v>
      </c>
      <c r="S159" t="s">
        <v>433</v>
      </c>
      <c r="T159">
        <f t="shared" si="8"/>
        <v>724388</v>
      </c>
      <c r="U159">
        <f t="shared" si="9"/>
        <v>3100</v>
      </c>
      <c r="V159">
        <f t="shared" si="10"/>
        <v>802632</v>
      </c>
      <c r="W159">
        <f t="shared" si="11"/>
        <v>78244</v>
      </c>
    </row>
    <row r="160" spans="1:23" x14ac:dyDescent="0.25">
      <c r="A160" s="204">
        <v>7203454549</v>
      </c>
      <c r="B160" s="204">
        <v>7203175930</v>
      </c>
      <c r="C160" s="126" t="s">
        <v>177</v>
      </c>
      <c r="D160" s="5">
        <v>6234000600</v>
      </c>
      <c r="E160" s="156">
        <v>44601</v>
      </c>
      <c r="F160" s="155">
        <v>26100</v>
      </c>
      <c r="G160" s="5" t="s">
        <v>421</v>
      </c>
      <c r="H160" s="204">
        <v>5501132737</v>
      </c>
      <c r="I160" s="44">
        <v>2600</v>
      </c>
      <c r="J160" s="42">
        <v>26.74</v>
      </c>
      <c r="K160" s="3" t="s">
        <v>196</v>
      </c>
      <c r="L160" s="3" t="s">
        <v>239</v>
      </c>
      <c r="M160" s="6"/>
      <c r="N160" s="6"/>
      <c r="O160" s="45">
        <v>31800</v>
      </c>
      <c r="P160" s="40" t="s">
        <v>176</v>
      </c>
      <c r="Q160" s="44">
        <v>26.74</v>
      </c>
      <c r="R160" s="44">
        <v>26.74</v>
      </c>
      <c r="S160" t="s">
        <v>433</v>
      </c>
      <c r="T160">
        <f t="shared" si="8"/>
        <v>767438</v>
      </c>
      <c r="U160">
        <f t="shared" si="9"/>
        <v>3100</v>
      </c>
      <c r="V160">
        <f t="shared" si="10"/>
        <v>850332</v>
      </c>
      <c r="W160">
        <f t="shared" si="11"/>
        <v>82894</v>
      </c>
    </row>
    <row r="161" spans="1:23" x14ac:dyDescent="0.25">
      <c r="A161" s="204">
        <v>7203454549</v>
      </c>
      <c r="B161" s="204">
        <v>7203175930</v>
      </c>
      <c r="C161" s="126" t="s">
        <v>177</v>
      </c>
      <c r="D161" s="5">
        <v>6234000600</v>
      </c>
      <c r="E161" s="156">
        <v>44602</v>
      </c>
      <c r="F161" s="155">
        <v>26100</v>
      </c>
      <c r="G161" s="5" t="s">
        <v>421</v>
      </c>
      <c r="H161" s="204">
        <v>5501132737</v>
      </c>
      <c r="I161" s="44">
        <v>2600</v>
      </c>
      <c r="J161" s="42">
        <v>26.26</v>
      </c>
      <c r="K161" s="3" t="s">
        <v>197</v>
      </c>
      <c r="L161" s="3" t="s">
        <v>240</v>
      </c>
      <c r="M161" s="6"/>
      <c r="N161" s="6"/>
      <c r="O161" s="45">
        <v>31800</v>
      </c>
      <c r="P161" s="40" t="s">
        <v>176</v>
      </c>
      <c r="Q161" s="44">
        <v>26.26</v>
      </c>
      <c r="R161" s="44">
        <v>26.26</v>
      </c>
      <c r="S161" t="s">
        <v>433</v>
      </c>
      <c r="T161">
        <f t="shared" si="8"/>
        <v>753662</v>
      </c>
      <c r="U161">
        <f t="shared" si="9"/>
        <v>3100</v>
      </c>
      <c r="V161">
        <f t="shared" si="10"/>
        <v>835068</v>
      </c>
      <c r="W161">
        <f t="shared" si="11"/>
        <v>81406</v>
      </c>
    </row>
    <row r="162" spans="1:23" x14ac:dyDescent="0.25">
      <c r="A162" s="204">
        <v>7203454549</v>
      </c>
      <c r="B162" s="204">
        <v>7203175930</v>
      </c>
      <c r="C162" s="126" t="s">
        <v>177</v>
      </c>
      <c r="D162" s="5">
        <v>6234000600</v>
      </c>
      <c r="E162" s="156">
        <v>44602</v>
      </c>
      <c r="F162" s="155">
        <v>26100</v>
      </c>
      <c r="G162" s="5" t="s">
        <v>421</v>
      </c>
      <c r="H162" s="204">
        <v>5501132737</v>
      </c>
      <c r="I162" s="44">
        <v>2600</v>
      </c>
      <c r="J162" s="42">
        <v>26.42</v>
      </c>
      <c r="K162" s="3" t="s">
        <v>113</v>
      </c>
      <c r="L162" s="3" t="s">
        <v>129</v>
      </c>
      <c r="M162" s="6"/>
      <c r="N162" s="6"/>
      <c r="O162" s="45">
        <v>31800</v>
      </c>
      <c r="P162" s="40" t="s">
        <v>176</v>
      </c>
      <c r="Q162" s="44">
        <v>26.42</v>
      </c>
      <c r="R162" s="44">
        <v>26.42</v>
      </c>
      <c r="S162" t="s">
        <v>433</v>
      </c>
      <c r="T162">
        <f t="shared" si="8"/>
        <v>758254</v>
      </c>
      <c r="U162">
        <f t="shared" si="9"/>
        <v>3100</v>
      </c>
      <c r="V162">
        <f t="shared" si="10"/>
        <v>840156</v>
      </c>
      <c r="W162">
        <f t="shared" si="11"/>
        <v>81902</v>
      </c>
    </row>
    <row r="163" spans="1:23" x14ac:dyDescent="0.25">
      <c r="A163" s="204">
        <v>7203454549</v>
      </c>
      <c r="B163" s="204">
        <v>7203175930</v>
      </c>
      <c r="C163" s="126" t="s">
        <v>177</v>
      </c>
      <c r="D163" s="5">
        <v>6234000600</v>
      </c>
      <c r="E163" s="156">
        <v>44602</v>
      </c>
      <c r="F163" s="155">
        <v>26500</v>
      </c>
      <c r="G163" s="5" t="s">
        <v>421</v>
      </c>
      <c r="H163" s="204">
        <v>5501132737</v>
      </c>
      <c r="I163" s="44">
        <v>2600</v>
      </c>
      <c r="J163" s="42">
        <v>24.84</v>
      </c>
      <c r="K163" s="3" t="s">
        <v>198</v>
      </c>
      <c r="L163" s="3" t="s">
        <v>241</v>
      </c>
      <c r="M163" s="6"/>
      <c r="N163" s="6"/>
      <c r="O163" s="45">
        <v>31800</v>
      </c>
      <c r="P163" s="40" t="s">
        <v>176</v>
      </c>
      <c r="Q163" s="44">
        <v>24.84</v>
      </c>
      <c r="R163" s="44">
        <v>24.84</v>
      </c>
      <c r="S163" t="s">
        <v>433</v>
      </c>
      <c r="T163">
        <f t="shared" si="8"/>
        <v>722844</v>
      </c>
      <c r="U163">
        <f t="shared" si="9"/>
        <v>2700</v>
      </c>
      <c r="V163">
        <f t="shared" si="10"/>
        <v>789912</v>
      </c>
      <c r="W163">
        <f t="shared" si="11"/>
        <v>67068</v>
      </c>
    </row>
    <row r="164" spans="1:23" x14ac:dyDescent="0.25">
      <c r="A164" s="204">
        <v>7203454549</v>
      </c>
      <c r="B164" s="204">
        <v>7203175930</v>
      </c>
      <c r="C164" s="126" t="s">
        <v>177</v>
      </c>
      <c r="D164" s="5">
        <v>6234000600</v>
      </c>
      <c r="E164" s="156">
        <v>44602</v>
      </c>
      <c r="F164" s="155">
        <v>26500</v>
      </c>
      <c r="G164" s="5" t="s">
        <v>421</v>
      </c>
      <c r="H164" s="204">
        <v>5501132737</v>
      </c>
      <c r="I164" s="44">
        <v>2600</v>
      </c>
      <c r="J164" s="42">
        <v>25.44</v>
      </c>
      <c r="K164" s="3" t="s">
        <v>199</v>
      </c>
      <c r="L164" s="3" t="s">
        <v>242</v>
      </c>
      <c r="M164" s="6"/>
      <c r="N164" s="6"/>
      <c r="O164" s="45">
        <v>31800</v>
      </c>
      <c r="P164" s="40" t="s">
        <v>176</v>
      </c>
      <c r="Q164" s="44">
        <v>25.44</v>
      </c>
      <c r="R164" s="44">
        <v>25.44</v>
      </c>
      <c r="S164" t="s">
        <v>433</v>
      </c>
      <c r="T164">
        <f t="shared" si="8"/>
        <v>740304</v>
      </c>
      <c r="U164">
        <f t="shared" si="9"/>
        <v>2700</v>
      </c>
      <c r="V164">
        <f t="shared" si="10"/>
        <v>808992</v>
      </c>
      <c r="W164">
        <f t="shared" si="11"/>
        <v>68688</v>
      </c>
    </row>
    <row r="165" spans="1:23" x14ac:dyDescent="0.25">
      <c r="A165" s="204">
        <v>7203454549</v>
      </c>
      <c r="B165" s="204">
        <v>7203175930</v>
      </c>
      <c r="C165" s="126" t="s">
        <v>177</v>
      </c>
      <c r="D165" s="5">
        <v>6234000600</v>
      </c>
      <c r="E165" s="156">
        <v>44602</v>
      </c>
      <c r="F165" s="155">
        <v>26500</v>
      </c>
      <c r="G165" s="5" t="s">
        <v>421</v>
      </c>
      <c r="H165" s="204">
        <v>5501132737</v>
      </c>
      <c r="I165" s="44">
        <v>2600</v>
      </c>
      <c r="J165" s="42">
        <v>26.54</v>
      </c>
      <c r="K165" s="3" t="s">
        <v>194</v>
      </c>
      <c r="L165" s="3" t="s">
        <v>237</v>
      </c>
      <c r="M165" s="6"/>
      <c r="N165" s="6"/>
      <c r="O165" s="45">
        <v>31800</v>
      </c>
      <c r="P165" s="40" t="s">
        <v>176</v>
      </c>
      <c r="Q165" s="44">
        <v>26.54</v>
      </c>
      <c r="R165" s="44">
        <v>26.54</v>
      </c>
      <c r="S165" t="s">
        <v>433</v>
      </c>
      <c r="T165">
        <f t="shared" si="8"/>
        <v>772314</v>
      </c>
      <c r="U165">
        <f t="shared" si="9"/>
        <v>2700</v>
      </c>
      <c r="V165">
        <f t="shared" si="10"/>
        <v>843972</v>
      </c>
      <c r="W165">
        <f t="shared" si="11"/>
        <v>71658</v>
      </c>
    </row>
    <row r="166" spans="1:23" x14ac:dyDescent="0.25">
      <c r="A166" s="204">
        <v>7203454549</v>
      </c>
      <c r="B166" s="204">
        <v>7203175930</v>
      </c>
      <c r="C166" s="126" t="s">
        <v>177</v>
      </c>
      <c r="D166" s="5">
        <v>6234000600</v>
      </c>
      <c r="E166" s="156">
        <v>44602</v>
      </c>
      <c r="F166" s="155">
        <v>26500</v>
      </c>
      <c r="G166" s="5" t="s">
        <v>421</v>
      </c>
      <c r="H166" s="204">
        <v>5501132737</v>
      </c>
      <c r="I166" s="44">
        <v>2600</v>
      </c>
      <c r="J166" s="42">
        <v>26.3</v>
      </c>
      <c r="K166" s="3" t="s">
        <v>190</v>
      </c>
      <c r="L166" s="3" t="s">
        <v>235</v>
      </c>
      <c r="M166" s="6"/>
      <c r="N166" s="6"/>
      <c r="O166" s="45">
        <v>31800</v>
      </c>
      <c r="P166" s="40" t="s">
        <v>176</v>
      </c>
      <c r="Q166" s="44">
        <v>26.3</v>
      </c>
      <c r="R166" s="44">
        <v>26.3</v>
      </c>
      <c r="S166" t="s">
        <v>433</v>
      </c>
      <c r="T166">
        <f t="shared" si="8"/>
        <v>765330</v>
      </c>
      <c r="U166">
        <f t="shared" si="9"/>
        <v>2700</v>
      </c>
      <c r="V166">
        <f t="shared" si="10"/>
        <v>836340</v>
      </c>
      <c r="W166">
        <f t="shared" si="11"/>
        <v>71010</v>
      </c>
    </row>
    <row r="167" spans="1:23" x14ac:dyDescent="0.25">
      <c r="A167" s="204">
        <v>7203454549</v>
      </c>
      <c r="B167" s="204">
        <v>7203175930</v>
      </c>
      <c r="C167" s="126" t="s">
        <v>177</v>
      </c>
      <c r="D167" s="5">
        <v>6234000600</v>
      </c>
      <c r="E167" s="156">
        <v>44603</v>
      </c>
      <c r="F167" s="155">
        <v>26500</v>
      </c>
      <c r="G167" s="5" t="s">
        <v>421</v>
      </c>
      <c r="H167" s="204">
        <v>5506225174</v>
      </c>
      <c r="I167" s="44">
        <v>2400</v>
      </c>
      <c r="J167" s="42">
        <v>26.7</v>
      </c>
      <c r="K167" s="3" t="s">
        <v>200</v>
      </c>
      <c r="L167" s="3"/>
      <c r="M167" s="6"/>
      <c r="N167" s="6"/>
      <c r="O167" s="45">
        <v>31800</v>
      </c>
      <c r="P167" s="40" t="s">
        <v>176</v>
      </c>
      <c r="Q167" s="44">
        <v>26.7</v>
      </c>
      <c r="R167" s="44">
        <v>26.7</v>
      </c>
      <c r="S167" t="s">
        <v>433</v>
      </c>
      <c r="T167">
        <f t="shared" si="8"/>
        <v>771630</v>
      </c>
      <c r="U167">
        <f t="shared" si="9"/>
        <v>2900</v>
      </c>
      <c r="V167">
        <f t="shared" si="10"/>
        <v>849060</v>
      </c>
      <c r="W167">
        <f t="shared" si="11"/>
        <v>77430</v>
      </c>
    </row>
    <row r="168" spans="1:23" x14ac:dyDescent="0.25">
      <c r="A168" s="204">
        <v>7203454549</v>
      </c>
      <c r="B168" s="204">
        <v>7203175930</v>
      </c>
      <c r="C168" s="126" t="s">
        <v>177</v>
      </c>
      <c r="D168" s="5">
        <v>6234000600</v>
      </c>
      <c r="E168" s="156">
        <v>44603</v>
      </c>
      <c r="F168" s="155">
        <v>26500</v>
      </c>
      <c r="G168" s="5" t="s">
        <v>421</v>
      </c>
      <c r="H168" s="204">
        <v>5501208190</v>
      </c>
      <c r="I168" s="44">
        <v>2400</v>
      </c>
      <c r="J168" s="42">
        <v>26.5</v>
      </c>
      <c r="K168" s="3" t="s">
        <v>101</v>
      </c>
      <c r="L168" s="3" t="s">
        <v>119</v>
      </c>
      <c r="M168" s="6"/>
      <c r="N168" s="6"/>
      <c r="O168" s="45">
        <v>31800</v>
      </c>
      <c r="P168" s="40" t="s">
        <v>176</v>
      </c>
      <c r="Q168" s="44">
        <v>26.5</v>
      </c>
      <c r="R168" s="44">
        <v>26.5</v>
      </c>
      <c r="S168" t="s">
        <v>433</v>
      </c>
      <c r="T168">
        <f t="shared" si="8"/>
        <v>765850</v>
      </c>
      <c r="U168">
        <f t="shared" si="9"/>
        <v>2900</v>
      </c>
      <c r="V168">
        <f t="shared" si="10"/>
        <v>842700</v>
      </c>
      <c r="W168">
        <f t="shared" si="11"/>
        <v>76850</v>
      </c>
    </row>
    <row r="169" spans="1:23" x14ac:dyDescent="0.25">
      <c r="A169" s="204">
        <v>7203454549</v>
      </c>
      <c r="B169" s="204">
        <v>7203175930</v>
      </c>
      <c r="C169" s="126" t="s">
        <v>177</v>
      </c>
      <c r="D169" s="5">
        <v>6234000600</v>
      </c>
      <c r="E169" s="156">
        <v>44603</v>
      </c>
      <c r="F169" s="155">
        <v>26500</v>
      </c>
      <c r="G169" s="5" t="s">
        <v>421</v>
      </c>
      <c r="H169" s="204">
        <v>5501208190</v>
      </c>
      <c r="I169" s="44">
        <v>2400</v>
      </c>
      <c r="J169" s="42">
        <v>26.22</v>
      </c>
      <c r="K169" s="3" t="s">
        <v>105</v>
      </c>
      <c r="L169" s="3" t="s">
        <v>123</v>
      </c>
      <c r="M169" s="6"/>
      <c r="N169" s="6"/>
      <c r="O169" s="45">
        <v>31800</v>
      </c>
      <c r="P169" s="40" t="s">
        <v>176</v>
      </c>
      <c r="Q169" s="44">
        <v>26.22</v>
      </c>
      <c r="R169" s="44">
        <v>26.22</v>
      </c>
      <c r="S169" t="s">
        <v>433</v>
      </c>
      <c r="T169">
        <f t="shared" si="8"/>
        <v>757758</v>
      </c>
      <c r="U169">
        <f t="shared" si="9"/>
        <v>2900</v>
      </c>
      <c r="V169">
        <f t="shared" si="10"/>
        <v>833796</v>
      </c>
      <c r="W169">
        <f t="shared" si="11"/>
        <v>76038</v>
      </c>
    </row>
    <row r="170" spans="1:23" x14ac:dyDescent="0.25">
      <c r="A170" s="204">
        <v>7203454549</v>
      </c>
      <c r="B170" s="204">
        <v>7203175930</v>
      </c>
      <c r="C170" s="126" t="s">
        <v>177</v>
      </c>
      <c r="D170" s="5">
        <v>6234000600</v>
      </c>
      <c r="E170" s="156">
        <v>44603</v>
      </c>
      <c r="F170" s="155">
        <v>26100</v>
      </c>
      <c r="G170" s="5" t="s">
        <v>421</v>
      </c>
      <c r="H170" s="204">
        <v>5506225174</v>
      </c>
      <c r="I170" s="44">
        <v>2400</v>
      </c>
      <c r="J170" s="42">
        <v>26.28</v>
      </c>
      <c r="K170" s="3" t="s">
        <v>201</v>
      </c>
      <c r="L170" s="3"/>
      <c r="M170" s="6"/>
      <c r="N170" s="6"/>
      <c r="O170" s="45">
        <v>31800</v>
      </c>
      <c r="P170" s="40" t="s">
        <v>176</v>
      </c>
      <c r="Q170" s="44">
        <v>26.28</v>
      </c>
      <c r="R170" s="44">
        <v>26.28</v>
      </c>
      <c r="S170" t="s">
        <v>433</v>
      </c>
      <c r="T170">
        <f t="shared" si="8"/>
        <v>748980</v>
      </c>
      <c r="U170">
        <f t="shared" si="9"/>
        <v>3300</v>
      </c>
      <c r="V170">
        <f t="shared" si="10"/>
        <v>835704</v>
      </c>
      <c r="W170">
        <f t="shared" si="11"/>
        <v>86724</v>
      </c>
    </row>
    <row r="171" spans="1:23" x14ac:dyDescent="0.25">
      <c r="A171" s="204">
        <v>7203454549</v>
      </c>
      <c r="B171" s="204">
        <v>7203175930</v>
      </c>
      <c r="C171" s="126" t="s">
        <v>177</v>
      </c>
      <c r="D171" s="5">
        <v>6234000600</v>
      </c>
      <c r="E171" s="156">
        <v>44604</v>
      </c>
      <c r="F171" s="155">
        <v>26500</v>
      </c>
      <c r="G171" s="5" t="s">
        <v>421</v>
      </c>
      <c r="H171" s="204">
        <v>5506225174</v>
      </c>
      <c r="I171" s="44">
        <v>2400</v>
      </c>
      <c r="J171" s="42">
        <v>23.26</v>
      </c>
      <c r="K171" s="3" t="s">
        <v>202</v>
      </c>
      <c r="L171" s="3" t="s">
        <v>243</v>
      </c>
      <c r="M171" s="6"/>
      <c r="N171" s="6"/>
      <c r="O171" s="45">
        <v>31800</v>
      </c>
      <c r="P171" s="40" t="s">
        <v>176</v>
      </c>
      <c r="Q171" s="44">
        <v>23.26</v>
      </c>
      <c r="R171" s="44">
        <v>23.26</v>
      </c>
      <c r="S171" t="s">
        <v>433</v>
      </c>
      <c r="T171">
        <f t="shared" si="8"/>
        <v>672214</v>
      </c>
      <c r="U171">
        <f t="shared" si="9"/>
        <v>2900</v>
      </c>
      <c r="V171">
        <f t="shared" si="10"/>
        <v>739668</v>
      </c>
      <c r="W171">
        <f t="shared" si="11"/>
        <v>67454</v>
      </c>
    </row>
    <row r="172" spans="1:23" x14ac:dyDescent="0.25">
      <c r="A172" s="204">
        <v>7203454549</v>
      </c>
      <c r="B172" s="204">
        <v>7203175930</v>
      </c>
      <c r="C172" s="126" t="s">
        <v>177</v>
      </c>
      <c r="D172" s="5">
        <v>6234000600</v>
      </c>
      <c r="E172" s="156">
        <v>44604</v>
      </c>
      <c r="F172" s="155">
        <v>26500</v>
      </c>
      <c r="G172" s="5" t="s">
        <v>421</v>
      </c>
      <c r="H172" s="204">
        <v>5506225174</v>
      </c>
      <c r="I172" s="44">
        <v>2400</v>
      </c>
      <c r="J172" s="42">
        <v>26.22</v>
      </c>
      <c r="K172" s="3" t="s">
        <v>201</v>
      </c>
      <c r="L172" s="3"/>
      <c r="M172" s="6"/>
      <c r="N172" s="6"/>
      <c r="O172" s="45">
        <v>31800</v>
      </c>
      <c r="P172" s="40" t="s">
        <v>176</v>
      </c>
      <c r="Q172" s="44">
        <v>26.22</v>
      </c>
      <c r="R172" s="44">
        <v>26.22</v>
      </c>
      <c r="S172" t="s">
        <v>433</v>
      </c>
      <c r="T172">
        <f t="shared" si="8"/>
        <v>757758</v>
      </c>
      <c r="U172">
        <f t="shared" si="9"/>
        <v>2900</v>
      </c>
      <c r="V172">
        <f t="shared" si="10"/>
        <v>833796</v>
      </c>
      <c r="W172">
        <f t="shared" si="11"/>
        <v>76038</v>
      </c>
    </row>
    <row r="173" spans="1:23" x14ac:dyDescent="0.25">
      <c r="A173" s="204">
        <v>7203454549</v>
      </c>
      <c r="B173" s="204">
        <v>7203175930</v>
      </c>
      <c r="C173" s="126" t="s">
        <v>177</v>
      </c>
      <c r="D173" s="5">
        <v>6234000600</v>
      </c>
      <c r="E173" s="156">
        <v>44604</v>
      </c>
      <c r="F173" s="155">
        <v>26500</v>
      </c>
      <c r="G173" s="5" t="s">
        <v>421</v>
      </c>
      <c r="H173" s="204">
        <v>5506225174</v>
      </c>
      <c r="I173" s="44">
        <v>2400</v>
      </c>
      <c r="J173" s="42">
        <v>26.74</v>
      </c>
      <c r="K173" s="3" t="s">
        <v>200</v>
      </c>
      <c r="L173" s="3"/>
      <c r="M173" s="6"/>
      <c r="N173" s="6"/>
      <c r="O173" s="45">
        <v>31800</v>
      </c>
      <c r="P173" s="40" t="s">
        <v>176</v>
      </c>
      <c r="Q173" s="44">
        <v>26.74</v>
      </c>
      <c r="R173" s="44">
        <v>26.74</v>
      </c>
      <c r="S173" t="s">
        <v>433</v>
      </c>
      <c r="T173">
        <f t="shared" si="8"/>
        <v>772786</v>
      </c>
      <c r="U173">
        <f t="shared" si="9"/>
        <v>2900</v>
      </c>
      <c r="V173">
        <f t="shared" si="10"/>
        <v>850332</v>
      </c>
      <c r="W173">
        <f t="shared" si="11"/>
        <v>77546</v>
      </c>
    </row>
    <row r="174" spans="1:23" x14ac:dyDescent="0.25">
      <c r="A174" s="204">
        <v>7203454549</v>
      </c>
      <c r="B174" s="204">
        <v>7203175930</v>
      </c>
      <c r="C174" s="126" t="s">
        <v>177</v>
      </c>
      <c r="D174" s="5">
        <v>6234000600</v>
      </c>
      <c r="E174" s="156">
        <v>44604</v>
      </c>
      <c r="F174" s="155">
        <v>26500</v>
      </c>
      <c r="G174" s="5" t="s">
        <v>421</v>
      </c>
      <c r="H174" s="204">
        <v>5503182532</v>
      </c>
      <c r="I174" s="44">
        <v>2400</v>
      </c>
      <c r="J174" s="42">
        <v>26.42</v>
      </c>
      <c r="K174" s="3" t="s">
        <v>97</v>
      </c>
      <c r="L174" s="3" t="s">
        <v>229</v>
      </c>
      <c r="M174" s="6"/>
      <c r="N174" s="6"/>
      <c r="O174" s="45">
        <v>31800</v>
      </c>
      <c r="P174" s="40" t="s">
        <v>176</v>
      </c>
      <c r="Q174" s="44">
        <v>26.42</v>
      </c>
      <c r="R174" s="44">
        <v>26.42</v>
      </c>
      <c r="S174" t="s">
        <v>433</v>
      </c>
      <c r="T174">
        <f t="shared" si="8"/>
        <v>763538</v>
      </c>
      <c r="U174">
        <f t="shared" si="9"/>
        <v>2900</v>
      </c>
      <c r="V174">
        <f t="shared" si="10"/>
        <v>840156</v>
      </c>
      <c r="W174">
        <f t="shared" si="11"/>
        <v>76618</v>
      </c>
    </row>
    <row r="175" spans="1:23" x14ac:dyDescent="0.25">
      <c r="A175" s="204">
        <v>7203454549</v>
      </c>
      <c r="B175" s="204">
        <v>7203175930</v>
      </c>
      <c r="C175" s="126" t="s">
        <v>177</v>
      </c>
      <c r="D175" s="5">
        <v>6234000600</v>
      </c>
      <c r="E175" s="156">
        <v>44604</v>
      </c>
      <c r="F175" s="155">
        <v>26500</v>
      </c>
      <c r="G175" s="5" t="s">
        <v>421</v>
      </c>
      <c r="H175" s="204">
        <v>5503182532</v>
      </c>
      <c r="I175" s="44">
        <v>2400</v>
      </c>
      <c r="J175" s="42">
        <v>26.62</v>
      </c>
      <c r="K175" s="3" t="s">
        <v>2</v>
      </c>
      <c r="L175" s="3" t="s">
        <v>19</v>
      </c>
      <c r="M175" s="6"/>
      <c r="N175" s="6"/>
      <c r="O175" s="45">
        <v>31800</v>
      </c>
      <c r="P175" s="40" t="s">
        <v>176</v>
      </c>
      <c r="Q175" s="44">
        <v>26.62</v>
      </c>
      <c r="R175" s="44">
        <v>26.62</v>
      </c>
      <c r="S175" t="s">
        <v>433</v>
      </c>
      <c r="T175">
        <f t="shared" si="8"/>
        <v>769318</v>
      </c>
      <c r="U175">
        <f t="shared" si="9"/>
        <v>2900</v>
      </c>
      <c r="V175">
        <f t="shared" si="10"/>
        <v>846516</v>
      </c>
      <c r="W175">
        <f t="shared" si="11"/>
        <v>77198</v>
      </c>
    </row>
    <row r="176" spans="1:23" x14ac:dyDescent="0.25">
      <c r="A176" s="204">
        <v>7203454549</v>
      </c>
      <c r="B176" s="204">
        <v>7203175930</v>
      </c>
      <c r="C176" s="126" t="s">
        <v>177</v>
      </c>
      <c r="D176" s="5">
        <v>6234000600</v>
      </c>
      <c r="E176" s="156">
        <v>44605</v>
      </c>
      <c r="F176" s="155">
        <v>26500</v>
      </c>
      <c r="G176" s="5" t="s">
        <v>421</v>
      </c>
      <c r="H176" s="204">
        <v>5501208190</v>
      </c>
      <c r="I176" s="44">
        <v>2400</v>
      </c>
      <c r="J176" s="42">
        <v>26.58</v>
      </c>
      <c r="K176" s="3" t="s">
        <v>101</v>
      </c>
      <c r="L176" s="3" t="s">
        <v>119</v>
      </c>
      <c r="M176" s="6"/>
      <c r="N176" s="6"/>
      <c r="O176" s="45">
        <v>31800</v>
      </c>
      <c r="P176" s="40" t="s">
        <v>176</v>
      </c>
      <c r="Q176" s="44">
        <v>26.58</v>
      </c>
      <c r="R176" s="44">
        <v>26.58</v>
      </c>
      <c r="S176" t="s">
        <v>433</v>
      </c>
      <c r="T176">
        <f t="shared" si="8"/>
        <v>768162</v>
      </c>
      <c r="U176">
        <f t="shared" si="9"/>
        <v>2900</v>
      </c>
      <c r="V176">
        <f t="shared" si="10"/>
        <v>845244</v>
      </c>
      <c r="W176">
        <f t="shared" si="11"/>
        <v>77082</v>
      </c>
    </row>
    <row r="177" spans="1:23" x14ac:dyDescent="0.25">
      <c r="A177" s="204">
        <v>7203454549</v>
      </c>
      <c r="B177" s="204">
        <v>7203175930</v>
      </c>
      <c r="C177" s="126" t="s">
        <v>177</v>
      </c>
      <c r="D177" s="5">
        <v>6234000600</v>
      </c>
      <c r="E177" s="156">
        <v>44607</v>
      </c>
      <c r="F177" s="155">
        <v>26500</v>
      </c>
      <c r="G177" s="5" t="s">
        <v>421</v>
      </c>
      <c r="H177" s="204">
        <v>5506225174</v>
      </c>
      <c r="I177" s="44">
        <v>2400</v>
      </c>
      <c r="J177" s="42">
        <v>26.84</v>
      </c>
      <c r="K177" s="3" t="s">
        <v>106</v>
      </c>
      <c r="L177" s="3" t="s">
        <v>124</v>
      </c>
      <c r="M177" s="6"/>
      <c r="N177" s="6"/>
      <c r="O177" s="45">
        <v>33300</v>
      </c>
      <c r="P177" s="40" t="s">
        <v>176</v>
      </c>
      <c r="Q177" s="44">
        <v>26.84</v>
      </c>
      <c r="R177" s="44">
        <v>26.84</v>
      </c>
      <c r="S177" t="s">
        <v>433</v>
      </c>
      <c r="T177">
        <f t="shared" si="8"/>
        <v>775676</v>
      </c>
      <c r="U177">
        <f t="shared" si="9"/>
        <v>4400</v>
      </c>
      <c r="V177">
        <f t="shared" si="10"/>
        <v>893772</v>
      </c>
      <c r="W177">
        <f t="shared" si="11"/>
        <v>118096</v>
      </c>
    </row>
    <row r="178" spans="1:23" x14ac:dyDescent="0.25">
      <c r="A178" s="204">
        <v>7203454549</v>
      </c>
      <c r="B178" s="204">
        <v>7203175930</v>
      </c>
      <c r="C178" s="126" t="s">
        <v>177</v>
      </c>
      <c r="D178" s="5">
        <v>6234000600</v>
      </c>
      <c r="E178" s="156">
        <v>44607</v>
      </c>
      <c r="F178" s="155">
        <v>26500</v>
      </c>
      <c r="G178" s="5" t="s">
        <v>421</v>
      </c>
      <c r="H178" s="204">
        <v>5501132737</v>
      </c>
      <c r="I178" s="44">
        <v>2600</v>
      </c>
      <c r="J178" s="42">
        <v>26.5</v>
      </c>
      <c r="K178" s="3"/>
      <c r="L178" s="3"/>
      <c r="M178" s="6"/>
      <c r="N178" s="6"/>
      <c r="O178" s="45">
        <v>33300</v>
      </c>
      <c r="P178" s="40" t="s">
        <v>176</v>
      </c>
      <c r="Q178" s="44">
        <v>26.5</v>
      </c>
      <c r="R178" s="44">
        <v>26.5</v>
      </c>
      <c r="S178" t="s">
        <v>433</v>
      </c>
      <c r="T178">
        <f t="shared" si="8"/>
        <v>771150</v>
      </c>
      <c r="U178">
        <f t="shared" si="9"/>
        <v>4200</v>
      </c>
      <c r="V178">
        <f t="shared" si="10"/>
        <v>882450</v>
      </c>
      <c r="W178">
        <f t="shared" si="11"/>
        <v>111300</v>
      </c>
    </row>
    <row r="179" spans="1:23" x14ac:dyDescent="0.25">
      <c r="A179" s="204">
        <v>7203454549</v>
      </c>
      <c r="B179" s="204">
        <v>7203175930</v>
      </c>
      <c r="C179" s="126" t="s">
        <v>177</v>
      </c>
      <c r="D179" s="5">
        <v>6234000600</v>
      </c>
      <c r="E179" s="156">
        <v>44607</v>
      </c>
      <c r="F179" s="155">
        <v>27100</v>
      </c>
      <c r="G179" s="5" t="s">
        <v>421</v>
      </c>
      <c r="H179" s="204">
        <v>5506225174</v>
      </c>
      <c r="I179" s="44">
        <v>2400</v>
      </c>
      <c r="J179" s="42">
        <v>26.5</v>
      </c>
      <c r="K179" s="3" t="s">
        <v>104</v>
      </c>
      <c r="L179" s="3" t="s">
        <v>122</v>
      </c>
      <c r="M179" s="6"/>
      <c r="N179" s="6"/>
      <c r="O179" s="45">
        <v>33300</v>
      </c>
      <c r="P179" s="40" t="s">
        <v>176</v>
      </c>
      <c r="Q179" s="44">
        <v>26.5</v>
      </c>
      <c r="R179" s="44">
        <v>26.5</v>
      </c>
      <c r="S179" t="s">
        <v>433</v>
      </c>
      <c r="T179">
        <f t="shared" si="8"/>
        <v>781750</v>
      </c>
      <c r="U179">
        <f t="shared" si="9"/>
        <v>3800</v>
      </c>
      <c r="V179">
        <f t="shared" si="10"/>
        <v>882450</v>
      </c>
      <c r="W179">
        <f t="shared" si="11"/>
        <v>100700</v>
      </c>
    </row>
    <row r="180" spans="1:23" x14ac:dyDescent="0.25">
      <c r="A180" s="204">
        <v>7203454549</v>
      </c>
      <c r="B180" s="204">
        <v>7203175930</v>
      </c>
      <c r="C180" s="126" t="s">
        <v>177</v>
      </c>
      <c r="D180" s="5">
        <v>6234000600</v>
      </c>
      <c r="E180" s="156">
        <v>44607</v>
      </c>
      <c r="F180" s="155">
        <v>27100</v>
      </c>
      <c r="G180" s="5" t="s">
        <v>421</v>
      </c>
      <c r="H180" s="204">
        <v>5501208190</v>
      </c>
      <c r="I180" s="44">
        <v>2400</v>
      </c>
      <c r="J180" s="42">
        <v>26.56</v>
      </c>
      <c r="K180" s="3" t="s">
        <v>101</v>
      </c>
      <c r="L180" s="3" t="s">
        <v>119</v>
      </c>
      <c r="M180" s="6"/>
      <c r="N180" s="6"/>
      <c r="O180" s="45">
        <v>33300</v>
      </c>
      <c r="P180" s="40" t="s">
        <v>176</v>
      </c>
      <c r="Q180" s="44">
        <v>26.56</v>
      </c>
      <c r="R180" s="44">
        <v>26.56</v>
      </c>
      <c r="S180" t="s">
        <v>433</v>
      </c>
      <c r="T180">
        <f t="shared" si="8"/>
        <v>783520</v>
      </c>
      <c r="U180">
        <f t="shared" si="9"/>
        <v>3800</v>
      </c>
      <c r="V180">
        <f t="shared" si="10"/>
        <v>884448</v>
      </c>
      <c r="W180">
        <f t="shared" si="11"/>
        <v>100928</v>
      </c>
    </row>
    <row r="181" spans="1:23" x14ac:dyDescent="0.25">
      <c r="A181" s="204">
        <v>7203454549</v>
      </c>
      <c r="B181" s="204">
        <v>7203175930</v>
      </c>
      <c r="C181" s="126" t="s">
        <v>177</v>
      </c>
      <c r="D181" s="5">
        <v>6234000600</v>
      </c>
      <c r="E181" s="156">
        <v>44607</v>
      </c>
      <c r="F181" s="155">
        <v>27100</v>
      </c>
      <c r="G181" s="5" t="s">
        <v>421</v>
      </c>
      <c r="H181" s="204">
        <v>5501208190</v>
      </c>
      <c r="I181" s="44">
        <v>2400</v>
      </c>
      <c r="J181" s="42">
        <v>26.5</v>
      </c>
      <c r="K181" s="3" t="s">
        <v>105</v>
      </c>
      <c r="L181" s="3" t="s">
        <v>123</v>
      </c>
      <c r="M181" s="6"/>
      <c r="N181" s="6"/>
      <c r="O181" s="45">
        <v>33300</v>
      </c>
      <c r="P181" s="40" t="s">
        <v>176</v>
      </c>
      <c r="Q181" s="44">
        <v>26.5</v>
      </c>
      <c r="R181" s="44">
        <v>26.5</v>
      </c>
      <c r="S181" t="s">
        <v>433</v>
      </c>
      <c r="T181">
        <f t="shared" si="8"/>
        <v>781750</v>
      </c>
      <c r="U181">
        <f t="shared" si="9"/>
        <v>3800</v>
      </c>
      <c r="V181">
        <f t="shared" si="10"/>
        <v>882450</v>
      </c>
      <c r="W181">
        <f t="shared" si="11"/>
        <v>100700</v>
      </c>
    </row>
    <row r="182" spans="1:23" x14ac:dyDescent="0.25">
      <c r="A182" s="204">
        <v>7203454549</v>
      </c>
      <c r="B182" s="204">
        <v>7203175930</v>
      </c>
      <c r="C182" s="126" t="s">
        <v>177</v>
      </c>
      <c r="D182" s="5">
        <v>6234000600</v>
      </c>
      <c r="E182" s="156">
        <v>44607</v>
      </c>
      <c r="F182" s="155">
        <v>27500</v>
      </c>
      <c r="G182" s="5" t="s">
        <v>421</v>
      </c>
      <c r="H182" s="204">
        <v>5501132737</v>
      </c>
      <c r="I182" s="44">
        <v>2600</v>
      </c>
      <c r="J182" s="42">
        <v>24.1</v>
      </c>
      <c r="K182" s="3" t="s">
        <v>203</v>
      </c>
      <c r="L182" s="3" t="s">
        <v>222</v>
      </c>
      <c r="M182" s="6"/>
      <c r="N182" s="6"/>
      <c r="O182" s="45">
        <v>33300</v>
      </c>
      <c r="P182" s="40" t="s">
        <v>176</v>
      </c>
      <c r="Q182" s="44">
        <v>24.1</v>
      </c>
      <c r="R182" s="44">
        <v>24.1</v>
      </c>
      <c r="S182" t="s">
        <v>433</v>
      </c>
      <c r="T182">
        <f t="shared" si="8"/>
        <v>725410</v>
      </c>
      <c r="U182">
        <f t="shared" si="9"/>
        <v>3200</v>
      </c>
      <c r="V182">
        <f t="shared" si="10"/>
        <v>802530</v>
      </c>
      <c r="W182">
        <f t="shared" si="11"/>
        <v>77120</v>
      </c>
    </row>
    <row r="183" spans="1:23" x14ac:dyDescent="0.25">
      <c r="A183" s="204">
        <v>7203454549</v>
      </c>
      <c r="B183" s="204">
        <v>7203175930</v>
      </c>
      <c r="C183" s="126" t="s">
        <v>177</v>
      </c>
      <c r="D183" s="5">
        <v>6234000600</v>
      </c>
      <c r="E183" s="156">
        <v>44607</v>
      </c>
      <c r="F183" s="155">
        <v>27500</v>
      </c>
      <c r="G183" s="5" t="s">
        <v>421</v>
      </c>
      <c r="H183" s="204">
        <v>5501132737</v>
      </c>
      <c r="I183" s="44">
        <v>2600</v>
      </c>
      <c r="J183" s="42">
        <v>26.52</v>
      </c>
      <c r="K183" s="46" t="s">
        <v>204</v>
      </c>
      <c r="L183" s="3" t="s">
        <v>244</v>
      </c>
      <c r="M183" s="6"/>
      <c r="N183" s="6"/>
      <c r="O183" s="45">
        <v>33300</v>
      </c>
      <c r="P183" s="40" t="s">
        <v>176</v>
      </c>
      <c r="Q183" s="44">
        <v>26.52</v>
      </c>
      <c r="R183" s="44">
        <v>26.52</v>
      </c>
      <c r="S183" t="s">
        <v>433</v>
      </c>
      <c r="T183">
        <f t="shared" si="8"/>
        <v>798252</v>
      </c>
      <c r="U183">
        <f t="shared" si="9"/>
        <v>3200</v>
      </c>
      <c r="V183">
        <f t="shared" si="10"/>
        <v>883116</v>
      </c>
      <c r="W183">
        <f t="shared" si="11"/>
        <v>84864</v>
      </c>
    </row>
    <row r="184" spans="1:23" x14ac:dyDescent="0.25">
      <c r="A184" s="204">
        <v>7203454549</v>
      </c>
      <c r="B184" s="204">
        <v>7203175930</v>
      </c>
      <c r="C184" s="126" t="s">
        <v>177</v>
      </c>
      <c r="D184" s="5">
        <v>6234000600</v>
      </c>
      <c r="E184" s="156">
        <v>44609</v>
      </c>
      <c r="F184" s="155">
        <v>27100</v>
      </c>
      <c r="G184" s="5" t="s">
        <v>421</v>
      </c>
      <c r="H184" s="204">
        <v>5506225174</v>
      </c>
      <c r="I184" s="44">
        <v>2400</v>
      </c>
      <c r="J184" s="42">
        <v>23.18</v>
      </c>
      <c r="K184" s="3" t="s">
        <v>202</v>
      </c>
      <c r="L184" s="3" t="s">
        <v>243</v>
      </c>
      <c r="M184" s="6"/>
      <c r="N184" s="6"/>
      <c r="O184" s="45">
        <v>33300</v>
      </c>
      <c r="P184" s="40" t="s">
        <v>176</v>
      </c>
      <c r="Q184" s="44">
        <v>23.18</v>
      </c>
      <c r="R184" s="44">
        <v>23.18</v>
      </c>
      <c r="S184" t="s">
        <v>433</v>
      </c>
      <c r="T184">
        <f t="shared" si="8"/>
        <v>683810</v>
      </c>
      <c r="U184">
        <f t="shared" si="9"/>
        <v>3800</v>
      </c>
      <c r="V184">
        <f t="shared" si="10"/>
        <v>771894</v>
      </c>
      <c r="W184">
        <f t="shared" si="11"/>
        <v>88084</v>
      </c>
    </row>
    <row r="185" spans="1:23" x14ac:dyDescent="0.25">
      <c r="A185" s="204">
        <v>7203454549</v>
      </c>
      <c r="B185" s="204">
        <v>7203175930</v>
      </c>
      <c r="C185" s="126" t="s">
        <v>177</v>
      </c>
      <c r="D185" s="5">
        <v>6234000600</v>
      </c>
      <c r="E185" s="156">
        <v>44609</v>
      </c>
      <c r="F185" s="155">
        <v>27100</v>
      </c>
      <c r="G185" s="5" t="s">
        <v>421</v>
      </c>
      <c r="H185" s="204">
        <v>5506225174</v>
      </c>
      <c r="I185" s="44">
        <v>2400</v>
      </c>
      <c r="J185" s="42">
        <v>26.28</v>
      </c>
      <c r="K185" s="3" t="s">
        <v>93</v>
      </c>
      <c r="L185" s="3" t="s">
        <v>245</v>
      </c>
      <c r="M185" s="6"/>
      <c r="N185" s="6"/>
      <c r="O185" s="45">
        <v>33300</v>
      </c>
      <c r="P185" s="40" t="s">
        <v>176</v>
      </c>
      <c r="Q185" s="44">
        <v>26.28</v>
      </c>
      <c r="R185" s="44">
        <v>26.28</v>
      </c>
      <c r="S185" t="s">
        <v>433</v>
      </c>
      <c r="T185">
        <f t="shared" si="8"/>
        <v>775260</v>
      </c>
      <c r="U185">
        <f t="shared" si="9"/>
        <v>3800</v>
      </c>
      <c r="V185">
        <f t="shared" si="10"/>
        <v>875124</v>
      </c>
      <c r="W185">
        <f t="shared" si="11"/>
        <v>99864</v>
      </c>
    </row>
    <row r="186" spans="1:23" x14ac:dyDescent="0.25">
      <c r="A186" s="204">
        <v>7203454549</v>
      </c>
      <c r="B186" s="204">
        <v>7203175930</v>
      </c>
      <c r="C186" s="126" t="s">
        <v>177</v>
      </c>
      <c r="D186" s="5">
        <v>6234000600</v>
      </c>
      <c r="E186" s="156">
        <v>44610</v>
      </c>
      <c r="F186" s="155">
        <v>27100</v>
      </c>
      <c r="G186" s="5" t="s">
        <v>421</v>
      </c>
      <c r="H186" s="204">
        <v>5501208190</v>
      </c>
      <c r="I186" s="44">
        <v>2400</v>
      </c>
      <c r="J186" s="42">
        <v>26.54</v>
      </c>
      <c r="K186" s="3" t="s">
        <v>105</v>
      </c>
      <c r="L186" s="3" t="s">
        <v>123</v>
      </c>
      <c r="M186" s="6"/>
      <c r="N186" s="6"/>
      <c r="O186" s="45">
        <v>33300</v>
      </c>
      <c r="P186" s="40" t="s">
        <v>176</v>
      </c>
      <c r="Q186" s="44">
        <v>26.54</v>
      </c>
      <c r="R186" s="44">
        <v>26.54</v>
      </c>
      <c r="S186" t="s">
        <v>433</v>
      </c>
      <c r="T186">
        <f t="shared" si="8"/>
        <v>782930</v>
      </c>
      <c r="U186">
        <f t="shared" si="9"/>
        <v>3800</v>
      </c>
      <c r="V186">
        <f t="shared" si="10"/>
        <v>883782</v>
      </c>
      <c r="W186">
        <f t="shared" si="11"/>
        <v>100852</v>
      </c>
    </row>
    <row r="187" spans="1:23" x14ac:dyDescent="0.25">
      <c r="A187" s="204">
        <v>7203454549</v>
      </c>
      <c r="B187" s="204">
        <v>7203175930</v>
      </c>
      <c r="C187" s="126" t="s">
        <v>177</v>
      </c>
      <c r="D187" s="5">
        <v>6234000600</v>
      </c>
      <c r="E187" s="156">
        <v>44610</v>
      </c>
      <c r="F187" s="155">
        <v>27100</v>
      </c>
      <c r="G187" s="5" t="s">
        <v>421</v>
      </c>
      <c r="H187" s="204">
        <v>5506225174</v>
      </c>
      <c r="I187" s="44">
        <v>2400</v>
      </c>
      <c r="J187" s="42">
        <v>23.82</v>
      </c>
      <c r="K187" s="3" t="s">
        <v>18</v>
      </c>
      <c r="L187" s="3" t="s">
        <v>37</v>
      </c>
      <c r="M187" s="6"/>
      <c r="N187" s="6"/>
      <c r="O187" s="45">
        <v>33300</v>
      </c>
      <c r="P187" s="40" t="s">
        <v>176</v>
      </c>
      <c r="Q187" s="44">
        <v>23.82</v>
      </c>
      <c r="R187" s="44">
        <v>23.82</v>
      </c>
      <c r="S187" t="s">
        <v>433</v>
      </c>
      <c r="T187">
        <f t="shared" si="8"/>
        <v>702690</v>
      </c>
      <c r="U187">
        <f t="shared" si="9"/>
        <v>3800</v>
      </c>
      <c r="V187">
        <f t="shared" si="10"/>
        <v>793206</v>
      </c>
      <c r="W187">
        <f t="shared" si="11"/>
        <v>90516</v>
      </c>
    </row>
    <row r="188" spans="1:23" x14ac:dyDescent="0.25">
      <c r="A188" s="204">
        <v>7203454549</v>
      </c>
      <c r="B188" s="204">
        <v>7203175930</v>
      </c>
      <c r="C188" s="126" t="s">
        <v>177</v>
      </c>
      <c r="D188" s="5">
        <v>6234000600</v>
      </c>
      <c r="E188" s="156">
        <v>44610</v>
      </c>
      <c r="F188" s="155">
        <v>27100</v>
      </c>
      <c r="G188" s="5" t="s">
        <v>421</v>
      </c>
      <c r="H188" s="204">
        <v>5503182532</v>
      </c>
      <c r="I188" s="44">
        <v>2400</v>
      </c>
      <c r="J188" s="42">
        <v>25.64</v>
      </c>
      <c r="K188" s="3" t="s">
        <v>103</v>
      </c>
      <c r="L188" s="3" t="s">
        <v>120</v>
      </c>
      <c r="M188" s="6"/>
      <c r="N188" s="6"/>
      <c r="O188" s="45">
        <v>33300</v>
      </c>
      <c r="P188" s="40" t="s">
        <v>176</v>
      </c>
      <c r="Q188" s="44">
        <v>25.64</v>
      </c>
      <c r="R188" s="44">
        <v>25.64</v>
      </c>
      <c r="S188" t="s">
        <v>433</v>
      </c>
      <c r="T188">
        <f t="shared" si="8"/>
        <v>756380</v>
      </c>
      <c r="U188">
        <f t="shared" si="9"/>
        <v>3800</v>
      </c>
      <c r="V188">
        <f t="shared" si="10"/>
        <v>853812</v>
      </c>
      <c r="W188">
        <f t="shared" si="11"/>
        <v>97432</v>
      </c>
    </row>
    <row r="189" spans="1:23" x14ac:dyDescent="0.25">
      <c r="A189" s="204">
        <v>7203454549</v>
      </c>
      <c r="B189" s="204">
        <v>7203175930</v>
      </c>
      <c r="C189" s="126" t="s">
        <v>177</v>
      </c>
      <c r="D189" s="5">
        <v>6234000600</v>
      </c>
      <c r="E189" s="156">
        <v>44610</v>
      </c>
      <c r="F189" s="155">
        <v>27100</v>
      </c>
      <c r="G189" s="5" t="s">
        <v>421</v>
      </c>
      <c r="H189" s="204">
        <v>5501132737</v>
      </c>
      <c r="I189" s="44">
        <v>2600</v>
      </c>
      <c r="J189" s="42">
        <v>24.3</v>
      </c>
      <c r="K189" s="3" t="s">
        <v>205</v>
      </c>
      <c r="L189" s="3" t="s">
        <v>120</v>
      </c>
      <c r="M189" s="6"/>
      <c r="N189" s="6"/>
      <c r="O189" s="45">
        <v>33300</v>
      </c>
      <c r="P189" s="40" t="s">
        <v>176</v>
      </c>
      <c r="Q189" s="44">
        <v>24.3</v>
      </c>
      <c r="R189" s="44">
        <v>24.3</v>
      </c>
      <c r="S189" t="s">
        <v>433</v>
      </c>
      <c r="T189">
        <f t="shared" si="8"/>
        <v>721710</v>
      </c>
      <c r="U189">
        <f t="shared" si="9"/>
        <v>3600</v>
      </c>
      <c r="V189">
        <f t="shared" si="10"/>
        <v>809190</v>
      </c>
      <c r="W189">
        <f t="shared" si="11"/>
        <v>87480</v>
      </c>
    </row>
    <row r="190" spans="1:23" x14ac:dyDescent="0.25">
      <c r="A190" s="204">
        <v>7203454549</v>
      </c>
      <c r="B190" s="204">
        <v>7203175930</v>
      </c>
      <c r="C190" s="126" t="s">
        <v>177</v>
      </c>
      <c r="D190" s="5">
        <v>6234000600</v>
      </c>
      <c r="E190" s="156">
        <v>44610</v>
      </c>
      <c r="F190" s="155">
        <v>27100</v>
      </c>
      <c r="G190" s="5" t="s">
        <v>421</v>
      </c>
      <c r="H190" s="204">
        <v>5501132737</v>
      </c>
      <c r="I190" s="44">
        <v>2600</v>
      </c>
      <c r="J190" s="42">
        <v>26.1</v>
      </c>
      <c r="K190" s="3" t="s">
        <v>6</v>
      </c>
      <c r="L190" s="3" t="s">
        <v>23</v>
      </c>
      <c r="M190" s="6"/>
      <c r="N190" s="6"/>
      <c r="O190" s="45">
        <v>33300</v>
      </c>
      <c r="P190" s="40" t="s">
        <v>176</v>
      </c>
      <c r="Q190" s="44">
        <v>26.1</v>
      </c>
      <c r="R190" s="44">
        <v>26.1</v>
      </c>
      <c r="S190" t="s">
        <v>433</v>
      </c>
      <c r="T190">
        <f t="shared" si="8"/>
        <v>775170</v>
      </c>
      <c r="U190">
        <f t="shared" si="9"/>
        <v>3600</v>
      </c>
      <c r="V190">
        <f t="shared" si="10"/>
        <v>869130</v>
      </c>
      <c r="W190">
        <f t="shared" si="11"/>
        <v>93960</v>
      </c>
    </row>
    <row r="191" spans="1:23" x14ac:dyDescent="0.25">
      <c r="A191" s="204">
        <v>7203454549</v>
      </c>
      <c r="B191" s="204">
        <v>7203175930</v>
      </c>
      <c r="C191" s="126" t="s">
        <v>177</v>
      </c>
      <c r="D191" s="5">
        <v>6234000600</v>
      </c>
      <c r="E191" s="156">
        <v>44610</v>
      </c>
      <c r="F191" s="155">
        <v>27100</v>
      </c>
      <c r="G191" s="5" t="s">
        <v>421</v>
      </c>
      <c r="H191" s="204">
        <v>5501132737</v>
      </c>
      <c r="I191" s="44">
        <v>2600</v>
      </c>
      <c r="J191" s="42">
        <v>26.16</v>
      </c>
      <c r="K191" s="3" t="s">
        <v>113</v>
      </c>
      <c r="L191" s="3" t="s">
        <v>129</v>
      </c>
      <c r="M191" s="6"/>
      <c r="N191" s="6"/>
      <c r="O191" s="45">
        <v>33300</v>
      </c>
      <c r="P191" s="40" t="s">
        <v>176</v>
      </c>
      <c r="Q191" s="44">
        <v>26.16</v>
      </c>
      <c r="R191" s="44">
        <v>26.16</v>
      </c>
      <c r="S191" t="s">
        <v>433</v>
      </c>
      <c r="T191">
        <f t="shared" si="8"/>
        <v>776952</v>
      </c>
      <c r="U191">
        <f t="shared" si="9"/>
        <v>3600</v>
      </c>
      <c r="V191">
        <f t="shared" si="10"/>
        <v>871128</v>
      </c>
      <c r="W191">
        <f t="shared" si="11"/>
        <v>94176</v>
      </c>
    </row>
    <row r="192" spans="1:23" x14ac:dyDescent="0.25">
      <c r="A192" s="204">
        <v>7203454549</v>
      </c>
      <c r="B192" s="204">
        <v>7203175930</v>
      </c>
      <c r="C192" s="126" t="s">
        <v>177</v>
      </c>
      <c r="D192" s="5">
        <v>6234000600</v>
      </c>
      <c r="E192" s="156">
        <v>44611</v>
      </c>
      <c r="F192" s="155">
        <v>27100</v>
      </c>
      <c r="G192" s="5" t="s">
        <v>421</v>
      </c>
      <c r="H192" s="204">
        <v>5501132737</v>
      </c>
      <c r="I192" s="44">
        <v>2600</v>
      </c>
      <c r="J192" s="42">
        <v>26.48</v>
      </c>
      <c r="K192" s="3" t="s">
        <v>190</v>
      </c>
      <c r="L192" s="3" t="s">
        <v>235</v>
      </c>
      <c r="M192" s="6"/>
      <c r="N192" s="6"/>
      <c r="O192" s="45">
        <v>33300</v>
      </c>
      <c r="P192" s="40" t="s">
        <v>176</v>
      </c>
      <c r="Q192" s="44">
        <v>26.48</v>
      </c>
      <c r="R192" s="44">
        <v>26.48</v>
      </c>
      <c r="S192" t="s">
        <v>433</v>
      </c>
      <c r="T192">
        <f t="shared" si="8"/>
        <v>786456</v>
      </c>
      <c r="U192">
        <f t="shared" si="9"/>
        <v>3600</v>
      </c>
      <c r="V192">
        <f t="shared" si="10"/>
        <v>881784</v>
      </c>
      <c r="W192">
        <f t="shared" si="11"/>
        <v>95328</v>
      </c>
    </row>
    <row r="193" spans="1:23" x14ac:dyDescent="0.25">
      <c r="A193" s="204">
        <v>7203454549</v>
      </c>
      <c r="B193" s="204">
        <v>7203175930</v>
      </c>
      <c r="C193" s="126" t="s">
        <v>177</v>
      </c>
      <c r="D193" s="5">
        <v>6234000600</v>
      </c>
      <c r="E193" s="156">
        <v>44612</v>
      </c>
      <c r="F193" s="155">
        <v>27100</v>
      </c>
      <c r="G193" s="5" t="s">
        <v>421</v>
      </c>
      <c r="H193" s="204">
        <v>5501208190</v>
      </c>
      <c r="I193" s="44">
        <v>2400</v>
      </c>
      <c r="J193" s="42">
        <v>26.36</v>
      </c>
      <c r="K193" s="3" t="s">
        <v>105</v>
      </c>
      <c r="L193" s="3" t="s">
        <v>123</v>
      </c>
      <c r="M193" s="6"/>
      <c r="N193" s="6"/>
      <c r="O193" s="45">
        <v>33300</v>
      </c>
      <c r="P193" s="40" t="s">
        <v>176</v>
      </c>
      <c r="Q193" s="44">
        <v>26.36</v>
      </c>
      <c r="R193" s="44">
        <v>26.36</v>
      </c>
      <c r="S193" t="s">
        <v>433</v>
      </c>
      <c r="T193">
        <f t="shared" si="8"/>
        <v>777620</v>
      </c>
      <c r="U193">
        <f t="shared" si="9"/>
        <v>3800</v>
      </c>
      <c r="V193">
        <f t="shared" si="10"/>
        <v>877788</v>
      </c>
      <c r="W193">
        <f t="shared" si="11"/>
        <v>100168</v>
      </c>
    </row>
    <row r="194" spans="1:23" x14ac:dyDescent="0.25">
      <c r="A194" s="204">
        <v>7203454549</v>
      </c>
      <c r="B194" s="204">
        <v>7203175930</v>
      </c>
      <c r="C194" s="126" t="s">
        <v>177</v>
      </c>
      <c r="D194" s="5">
        <v>6234000600</v>
      </c>
      <c r="E194" s="156">
        <v>44612</v>
      </c>
      <c r="F194" s="155">
        <v>27100</v>
      </c>
      <c r="G194" s="5" t="s">
        <v>421</v>
      </c>
      <c r="H194" s="204">
        <v>5501132737</v>
      </c>
      <c r="I194" s="44">
        <v>2600</v>
      </c>
      <c r="J194" s="42">
        <v>26.48</v>
      </c>
      <c r="K194" s="3" t="s">
        <v>113</v>
      </c>
      <c r="L194" s="3" t="s">
        <v>129</v>
      </c>
      <c r="M194" s="6"/>
      <c r="N194" s="6"/>
      <c r="O194" s="45">
        <v>33300</v>
      </c>
      <c r="P194" s="40" t="s">
        <v>176</v>
      </c>
      <c r="Q194" s="44">
        <v>26.48</v>
      </c>
      <c r="R194" s="44">
        <v>26.48</v>
      </c>
      <c r="S194" t="s">
        <v>433</v>
      </c>
      <c r="T194">
        <f t="shared" si="8"/>
        <v>786456</v>
      </c>
      <c r="U194">
        <f t="shared" si="9"/>
        <v>3600</v>
      </c>
      <c r="V194">
        <f t="shared" si="10"/>
        <v>881784</v>
      </c>
      <c r="W194">
        <f t="shared" si="11"/>
        <v>95328</v>
      </c>
    </row>
    <row r="195" spans="1:23" x14ac:dyDescent="0.25">
      <c r="A195" s="204">
        <v>7203454549</v>
      </c>
      <c r="B195" s="204">
        <v>7203175930</v>
      </c>
      <c r="C195" s="126" t="s">
        <v>177</v>
      </c>
      <c r="D195" s="5">
        <v>6234000600</v>
      </c>
      <c r="E195" s="156">
        <v>44612</v>
      </c>
      <c r="F195" s="155">
        <v>27100</v>
      </c>
      <c r="G195" s="5" t="s">
        <v>421</v>
      </c>
      <c r="H195" s="204">
        <v>5501132737</v>
      </c>
      <c r="I195" s="44">
        <v>2600</v>
      </c>
      <c r="J195" s="42">
        <v>25.12</v>
      </c>
      <c r="K195" s="3" t="s">
        <v>206</v>
      </c>
      <c r="L195" s="3" t="s">
        <v>246</v>
      </c>
      <c r="M195" s="6"/>
      <c r="N195" s="6"/>
      <c r="O195" s="45">
        <v>33300</v>
      </c>
      <c r="P195" s="40" t="s">
        <v>176</v>
      </c>
      <c r="Q195" s="44">
        <v>25.12</v>
      </c>
      <c r="R195" s="44">
        <v>25.12</v>
      </c>
      <c r="S195" t="s">
        <v>433</v>
      </c>
      <c r="T195">
        <f t="shared" ref="T195:T258" si="12">(I195+F195)*J195</f>
        <v>746064</v>
      </c>
      <c r="U195">
        <f t="shared" ref="U195:U258" si="13">O195-(F195+I195)</f>
        <v>3600</v>
      </c>
      <c r="V195">
        <f t="shared" ref="V195:V258" si="14">O195*J195</f>
        <v>836496</v>
      </c>
      <c r="W195">
        <f t="shared" ref="W195:W258" si="15">V195-T195</f>
        <v>90432</v>
      </c>
    </row>
    <row r="196" spans="1:23" x14ac:dyDescent="0.25">
      <c r="A196" s="204">
        <v>7203454549</v>
      </c>
      <c r="B196" s="204">
        <v>7203175930</v>
      </c>
      <c r="C196" s="126" t="s">
        <v>177</v>
      </c>
      <c r="D196" s="5">
        <v>6234000600</v>
      </c>
      <c r="E196" s="156">
        <v>44612</v>
      </c>
      <c r="F196" s="155">
        <v>27100</v>
      </c>
      <c r="G196" s="5" t="s">
        <v>421</v>
      </c>
      <c r="H196" s="204">
        <v>5501132737</v>
      </c>
      <c r="I196" s="44">
        <v>2600</v>
      </c>
      <c r="J196" s="42">
        <v>26.4</v>
      </c>
      <c r="K196" s="3" t="s">
        <v>189</v>
      </c>
      <c r="L196" s="3" t="s">
        <v>234</v>
      </c>
      <c r="M196" s="6"/>
      <c r="N196" s="6"/>
      <c r="O196" s="45">
        <v>33300</v>
      </c>
      <c r="P196" s="40" t="s">
        <v>176</v>
      </c>
      <c r="Q196" s="44">
        <v>26.4</v>
      </c>
      <c r="R196" s="44">
        <v>26.4</v>
      </c>
      <c r="S196" t="s">
        <v>433</v>
      </c>
      <c r="T196">
        <f t="shared" si="12"/>
        <v>784080</v>
      </c>
      <c r="U196">
        <f t="shared" si="13"/>
        <v>3600</v>
      </c>
      <c r="V196">
        <f t="shared" si="14"/>
        <v>879120</v>
      </c>
      <c r="W196">
        <f t="shared" si="15"/>
        <v>95040</v>
      </c>
    </row>
    <row r="197" spans="1:23" x14ac:dyDescent="0.25">
      <c r="A197" s="204">
        <v>7203454549</v>
      </c>
      <c r="B197" s="204">
        <v>7203175930</v>
      </c>
      <c r="C197" s="126" t="s">
        <v>177</v>
      </c>
      <c r="D197" s="5">
        <v>6234000600</v>
      </c>
      <c r="E197" s="156">
        <v>44612</v>
      </c>
      <c r="F197" s="155">
        <v>27100</v>
      </c>
      <c r="G197" s="5" t="s">
        <v>421</v>
      </c>
      <c r="H197" s="204">
        <v>5501132737</v>
      </c>
      <c r="I197" s="44">
        <v>2600</v>
      </c>
      <c r="J197" s="42">
        <v>25.9</v>
      </c>
      <c r="K197" s="3" t="s">
        <v>195</v>
      </c>
      <c r="L197" s="3" t="s">
        <v>238</v>
      </c>
      <c r="M197" s="6"/>
      <c r="N197" s="6"/>
      <c r="O197" s="45">
        <v>33300</v>
      </c>
      <c r="P197" s="40" t="s">
        <v>176</v>
      </c>
      <c r="Q197" s="44">
        <v>25.9</v>
      </c>
      <c r="R197" s="44">
        <v>25.9</v>
      </c>
      <c r="S197" t="s">
        <v>433</v>
      </c>
      <c r="T197">
        <f t="shared" si="12"/>
        <v>769230</v>
      </c>
      <c r="U197">
        <f t="shared" si="13"/>
        <v>3600</v>
      </c>
      <c r="V197">
        <f t="shared" si="14"/>
        <v>862470</v>
      </c>
      <c r="W197">
        <f t="shared" si="15"/>
        <v>93240</v>
      </c>
    </row>
    <row r="198" spans="1:23" x14ac:dyDescent="0.25">
      <c r="A198" s="204">
        <v>7203454549</v>
      </c>
      <c r="B198" s="204">
        <v>7203175930</v>
      </c>
      <c r="C198" s="126" t="s">
        <v>177</v>
      </c>
      <c r="D198" s="5">
        <v>6234000600</v>
      </c>
      <c r="E198" s="156">
        <v>44613</v>
      </c>
      <c r="F198" s="155">
        <v>27100</v>
      </c>
      <c r="G198" s="5" t="s">
        <v>421</v>
      </c>
      <c r="H198" s="204">
        <v>5501132737</v>
      </c>
      <c r="I198" s="44">
        <v>2600</v>
      </c>
      <c r="J198" s="42">
        <v>26.68</v>
      </c>
      <c r="K198" s="3" t="s">
        <v>207</v>
      </c>
      <c r="L198" s="3" t="s">
        <v>247</v>
      </c>
      <c r="M198" s="6"/>
      <c r="N198" s="6"/>
      <c r="O198" s="45">
        <v>33300</v>
      </c>
      <c r="P198" s="40" t="s">
        <v>176</v>
      </c>
      <c r="Q198" s="44">
        <v>26.68</v>
      </c>
      <c r="R198" s="44">
        <v>26.68</v>
      </c>
      <c r="S198" t="s">
        <v>433</v>
      </c>
      <c r="T198">
        <f t="shared" si="12"/>
        <v>792396</v>
      </c>
      <c r="U198">
        <f t="shared" si="13"/>
        <v>3600</v>
      </c>
      <c r="V198">
        <f t="shared" si="14"/>
        <v>888444</v>
      </c>
      <c r="W198">
        <f t="shared" si="15"/>
        <v>96048</v>
      </c>
    </row>
    <row r="199" spans="1:23" x14ac:dyDescent="0.25">
      <c r="A199" s="204">
        <v>7203454549</v>
      </c>
      <c r="B199" s="204">
        <v>7203175930</v>
      </c>
      <c r="C199" s="126" t="s">
        <v>177</v>
      </c>
      <c r="D199" s="5">
        <v>6234000600</v>
      </c>
      <c r="E199" s="156">
        <v>44613</v>
      </c>
      <c r="F199" s="155">
        <v>27100</v>
      </c>
      <c r="G199" s="5" t="s">
        <v>421</v>
      </c>
      <c r="H199" s="204">
        <v>5501132737</v>
      </c>
      <c r="I199" s="44">
        <v>2600</v>
      </c>
      <c r="J199" s="42">
        <v>24.46</v>
      </c>
      <c r="K199" s="3" t="s">
        <v>208</v>
      </c>
      <c r="L199" s="3" t="s">
        <v>248</v>
      </c>
      <c r="M199" s="6"/>
      <c r="N199" s="6"/>
      <c r="O199" s="45">
        <v>33300</v>
      </c>
      <c r="P199" s="40" t="s">
        <v>176</v>
      </c>
      <c r="Q199" s="44">
        <v>24.46</v>
      </c>
      <c r="R199" s="44">
        <v>24.46</v>
      </c>
      <c r="S199" t="s">
        <v>433</v>
      </c>
      <c r="T199">
        <f t="shared" si="12"/>
        <v>726462</v>
      </c>
      <c r="U199">
        <f t="shared" si="13"/>
        <v>3600</v>
      </c>
      <c r="V199">
        <f t="shared" si="14"/>
        <v>814518</v>
      </c>
      <c r="W199">
        <f t="shared" si="15"/>
        <v>88056</v>
      </c>
    </row>
    <row r="200" spans="1:23" x14ac:dyDescent="0.25">
      <c r="A200" s="204">
        <v>7203454549</v>
      </c>
      <c r="B200" s="204">
        <v>7203175930</v>
      </c>
      <c r="C200" s="126" t="s">
        <v>177</v>
      </c>
      <c r="D200" s="5">
        <v>6234000600</v>
      </c>
      <c r="E200" s="156">
        <v>44613</v>
      </c>
      <c r="F200" s="155">
        <v>27100</v>
      </c>
      <c r="G200" s="5" t="s">
        <v>421</v>
      </c>
      <c r="H200" s="204">
        <v>5501132737</v>
      </c>
      <c r="I200" s="44">
        <v>2600</v>
      </c>
      <c r="J200" s="42">
        <v>24.98</v>
      </c>
      <c r="K200" s="3" t="s">
        <v>192</v>
      </c>
      <c r="L200" s="3" t="s">
        <v>236</v>
      </c>
      <c r="M200" s="6"/>
      <c r="N200" s="6"/>
      <c r="O200" s="45">
        <v>33300</v>
      </c>
      <c r="P200" s="40" t="s">
        <v>176</v>
      </c>
      <c r="Q200" s="44">
        <v>24.98</v>
      </c>
      <c r="R200" s="44">
        <v>24.98</v>
      </c>
      <c r="S200" t="s">
        <v>433</v>
      </c>
      <c r="T200">
        <f t="shared" si="12"/>
        <v>741906</v>
      </c>
      <c r="U200">
        <f t="shared" si="13"/>
        <v>3600</v>
      </c>
      <c r="V200">
        <f t="shared" si="14"/>
        <v>831834</v>
      </c>
      <c r="W200">
        <f t="shared" si="15"/>
        <v>89928</v>
      </c>
    </row>
    <row r="201" spans="1:23" x14ac:dyDescent="0.25">
      <c r="A201" s="204">
        <v>7203454549</v>
      </c>
      <c r="B201" s="204">
        <v>7203175930</v>
      </c>
      <c r="C201" s="126" t="s">
        <v>177</v>
      </c>
      <c r="D201" s="5">
        <v>6234000600</v>
      </c>
      <c r="E201" s="156">
        <v>44613</v>
      </c>
      <c r="F201" s="155">
        <v>27100</v>
      </c>
      <c r="G201" s="5" t="s">
        <v>421</v>
      </c>
      <c r="H201" s="204">
        <v>5501132737</v>
      </c>
      <c r="I201" s="44">
        <v>2600</v>
      </c>
      <c r="J201" s="42">
        <v>24.64</v>
      </c>
      <c r="K201" s="3" t="s">
        <v>198</v>
      </c>
      <c r="L201" s="3" t="s">
        <v>241</v>
      </c>
      <c r="M201" s="6"/>
      <c r="N201" s="6"/>
      <c r="O201" s="45">
        <v>33300</v>
      </c>
      <c r="P201" s="40" t="s">
        <v>176</v>
      </c>
      <c r="Q201" s="44">
        <v>24.64</v>
      </c>
      <c r="R201" s="44">
        <v>24.64</v>
      </c>
      <c r="S201" t="s">
        <v>433</v>
      </c>
      <c r="T201">
        <f t="shared" si="12"/>
        <v>731808</v>
      </c>
      <c r="U201">
        <f t="shared" si="13"/>
        <v>3600</v>
      </c>
      <c r="V201">
        <f t="shared" si="14"/>
        <v>820512</v>
      </c>
      <c r="W201">
        <f t="shared" si="15"/>
        <v>88704</v>
      </c>
    </row>
    <row r="202" spans="1:23" x14ac:dyDescent="0.25">
      <c r="A202" s="204">
        <v>7203454549</v>
      </c>
      <c r="B202" s="204">
        <v>7203175930</v>
      </c>
      <c r="C202" s="126" t="s">
        <v>177</v>
      </c>
      <c r="D202" s="5">
        <v>6234000600</v>
      </c>
      <c r="E202" s="156">
        <v>44614</v>
      </c>
      <c r="F202" s="155">
        <v>27100</v>
      </c>
      <c r="G202" s="5" t="s">
        <v>421</v>
      </c>
      <c r="H202" s="204">
        <v>5501132737</v>
      </c>
      <c r="I202" s="44">
        <v>2600</v>
      </c>
      <c r="J202" s="42">
        <v>26.42</v>
      </c>
      <c r="K202" s="3" t="s">
        <v>6</v>
      </c>
      <c r="L202" s="3" t="s">
        <v>23</v>
      </c>
      <c r="M202" s="6"/>
      <c r="N202" s="6"/>
      <c r="O202" s="45">
        <v>33300</v>
      </c>
      <c r="P202" s="40" t="s">
        <v>176</v>
      </c>
      <c r="Q202" s="44">
        <v>26.42</v>
      </c>
      <c r="R202" s="44">
        <v>26.42</v>
      </c>
      <c r="S202" t="s">
        <v>433</v>
      </c>
      <c r="T202">
        <f t="shared" si="12"/>
        <v>784674</v>
      </c>
      <c r="U202">
        <f t="shared" si="13"/>
        <v>3600</v>
      </c>
      <c r="V202">
        <f t="shared" si="14"/>
        <v>879786</v>
      </c>
      <c r="W202">
        <f t="shared" si="15"/>
        <v>95112</v>
      </c>
    </row>
    <row r="203" spans="1:23" x14ac:dyDescent="0.25">
      <c r="A203" s="204">
        <v>7203454549</v>
      </c>
      <c r="B203" s="204">
        <v>7203175930</v>
      </c>
      <c r="C203" s="126" t="s">
        <v>177</v>
      </c>
      <c r="D203" s="5">
        <v>6234000600</v>
      </c>
      <c r="E203" s="156">
        <v>44614</v>
      </c>
      <c r="F203" s="155">
        <v>27100</v>
      </c>
      <c r="G203" s="5" t="s">
        <v>421</v>
      </c>
      <c r="H203" s="204">
        <v>5501132737</v>
      </c>
      <c r="I203" s="44">
        <v>2600</v>
      </c>
      <c r="J203" s="42">
        <v>26.72</v>
      </c>
      <c r="K203" s="3" t="s">
        <v>16</v>
      </c>
      <c r="L203" s="3" t="s">
        <v>35</v>
      </c>
      <c r="M203" s="6"/>
      <c r="N203" s="6"/>
      <c r="O203" s="45">
        <v>33300</v>
      </c>
      <c r="P203" s="40" t="s">
        <v>176</v>
      </c>
      <c r="Q203" s="44">
        <v>26.72</v>
      </c>
      <c r="R203" s="44">
        <v>26.72</v>
      </c>
      <c r="S203" t="s">
        <v>433</v>
      </c>
      <c r="T203">
        <f t="shared" si="12"/>
        <v>793584</v>
      </c>
      <c r="U203">
        <f t="shared" si="13"/>
        <v>3600</v>
      </c>
      <c r="V203">
        <f t="shared" si="14"/>
        <v>889776</v>
      </c>
      <c r="W203">
        <f t="shared" si="15"/>
        <v>96192</v>
      </c>
    </row>
    <row r="204" spans="1:23" x14ac:dyDescent="0.25">
      <c r="A204" s="204">
        <v>7203454549</v>
      </c>
      <c r="B204" s="204">
        <v>7203175930</v>
      </c>
      <c r="C204" s="126" t="s">
        <v>177</v>
      </c>
      <c r="D204" s="5">
        <v>6234000600</v>
      </c>
      <c r="E204" s="156">
        <v>44614</v>
      </c>
      <c r="F204" s="155">
        <v>27100</v>
      </c>
      <c r="G204" s="5" t="s">
        <v>421</v>
      </c>
      <c r="H204" s="204">
        <v>5501132737</v>
      </c>
      <c r="I204" s="44">
        <v>2600</v>
      </c>
      <c r="J204" s="42">
        <v>26.5</v>
      </c>
      <c r="K204" s="3" t="s">
        <v>209</v>
      </c>
      <c r="L204" s="3" t="s">
        <v>249</v>
      </c>
      <c r="M204" s="6"/>
      <c r="N204" s="6"/>
      <c r="O204" s="45">
        <v>33300</v>
      </c>
      <c r="P204" s="40" t="s">
        <v>176</v>
      </c>
      <c r="Q204" s="44">
        <v>26.5</v>
      </c>
      <c r="R204" s="44">
        <v>26.5</v>
      </c>
      <c r="S204" t="s">
        <v>433</v>
      </c>
      <c r="T204">
        <f t="shared" si="12"/>
        <v>787050</v>
      </c>
      <c r="U204">
        <f t="shared" si="13"/>
        <v>3600</v>
      </c>
      <c r="V204">
        <f t="shared" si="14"/>
        <v>882450</v>
      </c>
      <c r="W204">
        <f t="shared" si="15"/>
        <v>95400</v>
      </c>
    </row>
    <row r="205" spans="1:23" x14ac:dyDescent="0.25">
      <c r="A205" s="204">
        <v>7203454549</v>
      </c>
      <c r="B205" s="204">
        <v>7203175930</v>
      </c>
      <c r="C205" s="126" t="s">
        <v>177</v>
      </c>
      <c r="D205" s="5">
        <v>6234000600</v>
      </c>
      <c r="E205" s="156">
        <v>44615</v>
      </c>
      <c r="F205" s="155">
        <v>27100</v>
      </c>
      <c r="G205" s="5" t="s">
        <v>421</v>
      </c>
      <c r="H205" s="204">
        <v>5506225174</v>
      </c>
      <c r="I205" s="44">
        <v>2400</v>
      </c>
      <c r="J205" s="42">
        <v>26.5</v>
      </c>
      <c r="K205" s="3" t="s">
        <v>210</v>
      </c>
      <c r="L205" s="3"/>
      <c r="M205" s="6"/>
      <c r="N205" s="6"/>
      <c r="O205" s="45">
        <v>33300</v>
      </c>
      <c r="P205" s="40" t="s">
        <v>176</v>
      </c>
      <c r="Q205" s="44">
        <v>26.5</v>
      </c>
      <c r="R205" s="44">
        <v>26.5</v>
      </c>
      <c r="S205" t="s">
        <v>433</v>
      </c>
      <c r="T205">
        <f t="shared" si="12"/>
        <v>781750</v>
      </c>
      <c r="U205">
        <f t="shared" si="13"/>
        <v>3800</v>
      </c>
      <c r="V205">
        <f t="shared" si="14"/>
        <v>882450</v>
      </c>
      <c r="W205">
        <f t="shared" si="15"/>
        <v>100700</v>
      </c>
    </row>
    <row r="206" spans="1:23" x14ac:dyDescent="0.25">
      <c r="A206" s="204">
        <v>7203454549</v>
      </c>
      <c r="B206" s="204">
        <v>7203175930</v>
      </c>
      <c r="C206" s="126" t="s">
        <v>177</v>
      </c>
      <c r="D206" s="5">
        <v>6234000600</v>
      </c>
      <c r="E206" s="156">
        <v>44615</v>
      </c>
      <c r="F206" s="155">
        <v>27100</v>
      </c>
      <c r="G206" s="5" t="s">
        <v>421</v>
      </c>
      <c r="H206" s="204">
        <v>5506225174</v>
      </c>
      <c r="I206" s="44">
        <v>2400</v>
      </c>
      <c r="J206" s="42">
        <v>26.78</v>
      </c>
      <c r="K206" s="3" t="s">
        <v>99</v>
      </c>
      <c r="L206" s="3" t="s">
        <v>118</v>
      </c>
      <c r="M206" s="6"/>
      <c r="N206" s="6"/>
      <c r="O206" s="45">
        <v>33300</v>
      </c>
      <c r="P206" s="40" t="s">
        <v>176</v>
      </c>
      <c r="Q206" s="44">
        <v>26.78</v>
      </c>
      <c r="R206" s="44">
        <v>26.78</v>
      </c>
      <c r="S206" t="s">
        <v>433</v>
      </c>
      <c r="T206">
        <f t="shared" si="12"/>
        <v>790010</v>
      </c>
      <c r="U206">
        <f t="shared" si="13"/>
        <v>3800</v>
      </c>
      <c r="V206">
        <f t="shared" si="14"/>
        <v>891774</v>
      </c>
      <c r="W206">
        <f t="shared" si="15"/>
        <v>101764</v>
      </c>
    </row>
    <row r="207" spans="1:23" x14ac:dyDescent="0.25">
      <c r="A207" s="204">
        <v>7203454549</v>
      </c>
      <c r="B207" s="204">
        <v>7203175930</v>
      </c>
      <c r="C207" s="126" t="s">
        <v>177</v>
      </c>
      <c r="D207" s="5">
        <v>6234000600</v>
      </c>
      <c r="E207" s="156">
        <v>44615</v>
      </c>
      <c r="F207" s="155">
        <v>27100</v>
      </c>
      <c r="G207" s="5" t="s">
        <v>421</v>
      </c>
      <c r="H207" s="204">
        <v>5501132737</v>
      </c>
      <c r="I207" s="44">
        <v>2600</v>
      </c>
      <c r="J207" s="42">
        <v>25.7</v>
      </c>
      <c r="K207" s="3" t="s">
        <v>211</v>
      </c>
      <c r="L207" s="3" t="s">
        <v>124</v>
      </c>
      <c r="M207" s="6"/>
      <c r="N207" s="6"/>
      <c r="O207" s="45">
        <v>33300</v>
      </c>
      <c r="P207" s="40" t="s">
        <v>176</v>
      </c>
      <c r="Q207" s="44">
        <v>25.7</v>
      </c>
      <c r="R207" s="44">
        <v>25.7</v>
      </c>
      <c r="S207" t="s">
        <v>433</v>
      </c>
      <c r="T207">
        <f t="shared" si="12"/>
        <v>763290</v>
      </c>
      <c r="U207">
        <f t="shared" si="13"/>
        <v>3600</v>
      </c>
      <c r="V207">
        <f t="shared" si="14"/>
        <v>855810</v>
      </c>
      <c r="W207">
        <f t="shared" si="15"/>
        <v>92520</v>
      </c>
    </row>
    <row r="208" spans="1:23" x14ac:dyDescent="0.25">
      <c r="A208" s="204">
        <v>7203454549</v>
      </c>
      <c r="B208" s="204">
        <v>7203175930</v>
      </c>
      <c r="C208" s="126" t="s">
        <v>177</v>
      </c>
      <c r="D208" s="5">
        <v>6234000600</v>
      </c>
      <c r="E208" s="156">
        <v>44615</v>
      </c>
      <c r="F208" s="155">
        <v>27100</v>
      </c>
      <c r="G208" s="5" t="s">
        <v>421</v>
      </c>
      <c r="H208" s="204">
        <v>5501132737</v>
      </c>
      <c r="I208" s="44">
        <v>2600</v>
      </c>
      <c r="J208" s="42">
        <v>26.24</v>
      </c>
      <c r="K208" s="3" t="s">
        <v>196</v>
      </c>
      <c r="L208" s="3" t="s">
        <v>239</v>
      </c>
      <c r="M208" s="6"/>
      <c r="N208" s="6"/>
      <c r="O208" s="45">
        <v>33300</v>
      </c>
      <c r="P208" s="40" t="s">
        <v>176</v>
      </c>
      <c r="Q208" s="44">
        <v>26.24</v>
      </c>
      <c r="R208" s="44">
        <v>26.24</v>
      </c>
      <c r="S208" t="s">
        <v>433</v>
      </c>
      <c r="T208">
        <f t="shared" si="12"/>
        <v>779328</v>
      </c>
      <c r="U208">
        <f t="shared" si="13"/>
        <v>3600</v>
      </c>
      <c r="V208">
        <f t="shared" si="14"/>
        <v>873792</v>
      </c>
      <c r="W208">
        <f t="shared" si="15"/>
        <v>94464</v>
      </c>
    </row>
    <row r="209" spans="1:23" x14ac:dyDescent="0.25">
      <c r="A209" s="204">
        <v>7203454549</v>
      </c>
      <c r="B209" s="204">
        <v>7203175930</v>
      </c>
      <c r="C209" s="126" t="s">
        <v>177</v>
      </c>
      <c r="D209" s="5">
        <v>6234000600</v>
      </c>
      <c r="E209" s="156">
        <v>44615</v>
      </c>
      <c r="F209" s="155">
        <v>27100</v>
      </c>
      <c r="G209" s="5" t="s">
        <v>421</v>
      </c>
      <c r="H209" s="204">
        <v>5501132737</v>
      </c>
      <c r="I209" s="44">
        <v>2600</v>
      </c>
      <c r="J209" s="42">
        <v>24.94</v>
      </c>
      <c r="K209" s="3" t="s">
        <v>192</v>
      </c>
      <c r="L209" s="3" t="s">
        <v>236</v>
      </c>
      <c r="M209" s="6"/>
      <c r="N209" s="6"/>
      <c r="O209" s="45">
        <v>33300</v>
      </c>
      <c r="P209" s="40" t="s">
        <v>176</v>
      </c>
      <c r="Q209" s="44">
        <v>24.94</v>
      </c>
      <c r="R209" s="44">
        <v>24.94</v>
      </c>
      <c r="S209" t="s">
        <v>433</v>
      </c>
      <c r="T209">
        <f t="shared" si="12"/>
        <v>740718</v>
      </c>
      <c r="U209">
        <f t="shared" si="13"/>
        <v>3600</v>
      </c>
      <c r="V209">
        <f t="shared" si="14"/>
        <v>830502</v>
      </c>
      <c r="W209">
        <f t="shared" si="15"/>
        <v>89784</v>
      </c>
    </row>
    <row r="210" spans="1:23" x14ac:dyDescent="0.25">
      <c r="A210" s="204">
        <v>7203454549</v>
      </c>
      <c r="B210" s="204">
        <v>7203175930</v>
      </c>
      <c r="C210" s="126" t="s">
        <v>177</v>
      </c>
      <c r="D210" s="5">
        <v>6234000600</v>
      </c>
      <c r="E210" s="156">
        <v>44615</v>
      </c>
      <c r="F210" s="155">
        <v>27100</v>
      </c>
      <c r="G210" s="5" t="s">
        <v>421</v>
      </c>
      <c r="H210" s="204">
        <v>5501132737</v>
      </c>
      <c r="I210" s="44">
        <v>2600</v>
      </c>
      <c r="J210" s="42">
        <v>25.46</v>
      </c>
      <c r="K210" s="3" t="s">
        <v>199</v>
      </c>
      <c r="L210" s="3" t="s">
        <v>242</v>
      </c>
      <c r="M210" s="6"/>
      <c r="N210" s="6"/>
      <c r="O210" s="45">
        <v>33300</v>
      </c>
      <c r="P210" s="40" t="s">
        <v>176</v>
      </c>
      <c r="Q210" s="44">
        <v>25.46</v>
      </c>
      <c r="R210" s="44">
        <v>25.46</v>
      </c>
      <c r="S210" t="s">
        <v>433</v>
      </c>
      <c r="T210">
        <f t="shared" si="12"/>
        <v>756162</v>
      </c>
      <c r="U210">
        <f t="shared" si="13"/>
        <v>3600</v>
      </c>
      <c r="V210">
        <f t="shared" si="14"/>
        <v>847818</v>
      </c>
      <c r="W210">
        <f t="shared" si="15"/>
        <v>91656</v>
      </c>
    </row>
    <row r="211" spans="1:23" x14ac:dyDescent="0.25">
      <c r="A211" s="204">
        <v>7203454549</v>
      </c>
      <c r="B211" s="204">
        <v>7203175930</v>
      </c>
      <c r="C211" s="126" t="s">
        <v>177</v>
      </c>
      <c r="D211" s="5">
        <v>6234000600</v>
      </c>
      <c r="E211" s="156">
        <v>44615</v>
      </c>
      <c r="F211" s="155">
        <v>27100</v>
      </c>
      <c r="G211" s="5" t="s">
        <v>421</v>
      </c>
      <c r="H211" s="204">
        <v>5501132737</v>
      </c>
      <c r="I211" s="44">
        <v>2600</v>
      </c>
      <c r="J211" s="42">
        <v>26.34</v>
      </c>
      <c r="K211" s="3" t="s">
        <v>212</v>
      </c>
      <c r="L211" s="3"/>
      <c r="M211" s="6"/>
      <c r="N211" s="6"/>
      <c r="O211" s="45">
        <v>33300</v>
      </c>
      <c r="P211" s="40" t="s">
        <v>176</v>
      </c>
      <c r="Q211" s="44">
        <v>26.34</v>
      </c>
      <c r="R211" s="44">
        <v>26.34</v>
      </c>
      <c r="S211" t="s">
        <v>433</v>
      </c>
      <c r="T211">
        <f t="shared" si="12"/>
        <v>782298</v>
      </c>
      <c r="U211">
        <f t="shared" si="13"/>
        <v>3600</v>
      </c>
      <c r="V211">
        <f t="shared" si="14"/>
        <v>877122</v>
      </c>
      <c r="W211">
        <f t="shared" si="15"/>
        <v>94824</v>
      </c>
    </row>
    <row r="212" spans="1:23" x14ac:dyDescent="0.25">
      <c r="A212" s="204">
        <v>7203454549</v>
      </c>
      <c r="B212" s="204">
        <v>7203175930</v>
      </c>
      <c r="C212" s="126" t="s">
        <v>177</v>
      </c>
      <c r="D212" s="5">
        <v>6234000600</v>
      </c>
      <c r="E212" s="156">
        <v>44616</v>
      </c>
      <c r="F212" s="155">
        <v>27100</v>
      </c>
      <c r="G212" s="5" t="s">
        <v>421</v>
      </c>
      <c r="H212" s="204">
        <v>5501208190</v>
      </c>
      <c r="I212" s="44">
        <v>2400</v>
      </c>
      <c r="J212" s="42">
        <v>26.64</v>
      </c>
      <c r="K212" s="3" t="s">
        <v>112</v>
      </c>
      <c r="L212" s="3" t="s">
        <v>221</v>
      </c>
      <c r="M212" s="6"/>
      <c r="N212" s="6"/>
      <c r="O212" s="45">
        <v>33300</v>
      </c>
      <c r="P212" s="40" t="s">
        <v>176</v>
      </c>
      <c r="Q212" s="44">
        <v>26.64</v>
      </c>
      <c r="R212" s="44">
        <v>26.64</v>
      </c>
      <c r="S212" t="s">
        <v>433</v>
      </c>
      <c r="T212">
        <f t="shared" si="12"/>
        <v>785880</v>
      </c>
      <c r="U212">
        <f t="shared" si="13"/>
        <v>3800</v>
      </c>
      <c r="V212">
        <f t="shared" si="14"/>
        <v>887112</v>
      </c>
      <c r="W212">
        <f t="shared" si="15"/>
        <v>101232</v>
      </c>
    </row>
    <row r="213" spans="1:23" x14ac:dyDescent="0.25">
      <c r="A213" s="204">
        <v>7203454549</v>
      </c>
      <c r="B213" s="204">
        <v>7203175930</v>
      </c>
      <c r="C213" s="126" t="s">
        <v>177</v>
      </c>
      <c r="D213" s="5">
        <v>6234000600</v>
      </c>
      <c r="E213" s="156">
        <v>44616</v>
      </c>
      <c r="F213" s="155">
        <v>27100</v>
      </c>
      <c r="G213" s="5" t="s">
        <v>421</v>
      </c>
      <c r="H213" s="204">
        <v>5501208190</v>
      </c>
      <c r="I213" s="44">
        <v>2400</v>
      </c>
      <c r="J213" s="42">
        <v>26.34</v>
      </c>
      <c r="K213" s="3" t="s">
        <v>111</v>
      </c>
      <c r="L213" s="3"/>
      <c r="M213" s="6"/>
      <c r="N213" s="6"/>
      <c r="O213" s="45">
        <v>33300</v>
      </c>
      <c r="P213" s="40" t="s">
        <v>176</v>
      </c>
      <c r="Q213" s="44">
        <v>26.34</v>
      </c>
      <c r="R213" s="44">
        <v>26.34</v>
      </c>
      <c r="S213" t="s">
        <v>433</v>
      </c>
      <c r="T213">
        <f t="shared" si="12"/>
        <v>777030</v>
      </c>
      <c r="U213">
        <f t="shared" si="13"/>
        <v>3800</v>
      </c>
      <c r="V213">
        <f t="shared" si="14"/>
        <v>877122</v>
      </c>
      <c r="W213">
        <f t="shared" si="15"/>
        <v>100092</v>
      </c>
    </row>
    <row r="214" spans="1:23" x14ac:dyDescent="0.25">
      <c r="A214" s="204">
        <v>7203454549</v>
      </c>
      <c r="B214" s="204">
        <v>7203175930</v>
      </c>
      <c r="C214" s="126" t="s">
        <v>177</v>
      </c>
      <c r="D214" s="5">
        <v>6234000600</v>
      </c>
      <c r="E214" s="156">
        <v>44616</v>
      </c>
      <c r="F214" s="155">
        <v>27100</v>
      </c>
      <c r="G214" s="5" t="s">
        <v>421</v>
      </c>
      <c r="H214" s="204">
        <v>5506225174</v>
      </c>
      <c r="I214" s="44">
        <v>2400</v>
      </c>
      <c r="J214" s="42">
        <v>26.48</v>
      </c>
      <c r="K214" s="3" t="s">
        <v>93</v>
      </c>
      <c r="L214" s="3" t="s">
        <v>245</v>
      </c>
      <c r="M214" s="6"/>
      <c r="N214" s="6"/>
      <c r="O214" s="45">
        <v>33300</v>
      </c>
      <c r="P214" s="40" t="s">
        <v>176</v>
      </c>
      <c r="Q214" s="44">
        <v>26.48</v>
      </c>
      <c r="R214" s="44">
        <v>26.48</v>
      </c>
      <c r="S214" t="s">
        <v>433</v>
      </c>
      <c r="T214">
        <f t="shared" si="12"/>
        <v>781160</v>
      </c>
      <c r="U214">
        <f t="shared" si="13"/>
        <v>3800</v>
      </c>
      <c r="V214">
        <f t="shared" si="14"/>
        <v>881784</v>
      </c>
      <c r="W214">
        <f t="shared" si="15"/>
        <v>100624</v>
      </c>
    </row>
    <row r="215" spans="1:23" x14ac:dyDescent="0.25">
      <c r="A215" s="204">
        <v>7203454549</v>
      </c>
      <c r="B215" s="204">
        <v>7203175930</v>
      </c>
      <c r="C215" s="126" t="s">
        <v>177</v>
      </c>
      <c r="D215" s="5">
        <v>6234000600</v>
      </c>
      <c r="E215" s="156">
        <v>44616</v>
      </c>
      <c r="F215" s="155">
        <v>27100</v>
      </c>
      <c r="G215" s="5" t="s">
        <v>421</v>
      </c>
      <c r="H215" s="204">
        <v>5506225174</v>
      </c>
      <c r="I215" s="44">
        <v>2400</v>
      </c>
      <c r="J215" s="42">
        <v>26.48</v>
      </c>
      <c r="K215" s="3" t="s">
        <v>104</v>
      </c>
      <c r="L215" s="3" t="s">
        <v>122</v>
      </c>
      <c r="M215" s="6"/>
      <c r="N215" s="6"/>
      <c r="O215" s="45">
        <v>33300</v>
      </c>
      <c r="P215" s="40" t="s">
        <v>176</v>
      </c>
      <c r="Q215" s="44">
        <v>26.48</v>
      </c>
      <c r="R215" s="44">
        <v>26.48</v>
      </c>
      <c r="S215" t="s">
        <v>433</v>
      </c>
      <c r="T215">
        <f t="shared" si="12"/>
        <v>781160</v>
      </c>
      <c r="U215">
        <f t="shared" si="13"/>
        <v>3800</v>
      </c>
      <c r="V215">
        <f t="shared" si="14"/>
        <v>881784</v>
      </c>
      <c r="W215">
        <f t="shared" si="15"/>
        <v>100624</v>
      </c>
    </row>
    <row r="216" spans="1:23" x14ac:dyDescent="0.25">
      <c r="A216" s="204">
        <v>7203454549</v>
      </c>
      <c r="B216" s="204">
        <v>7203175930</v>
      </c>
      <c r="C216" s="126" t="s">
        <v>177</v>
      </c>
      <c r="D216" s="5">
        <v>6234000600</v>
      </c>
      <c r="E216" s="156">
        <v>44616</v>
      </c>
      <c r="F216" s="155">
        <v>27100</v>
      </c>
      <c r="G216" s="5" t="s">
        <v>421</v>
      </c>
      <c r="H216" s="204">
        <v>5501132737</v>
      </c>
      <c r="I216" s="44">
        <v>2600</v>
      </c>
      <c r="J216" s="42">
        <v>26.46</v>
      </c>
      <c r="K216" s="3" t="s">
        <v>113</v>
      </c>
      <c r="L216" s="3" t="s">
        <v>129</v>
      </c>
      <c r="M216" s="6"/>
      <c r="N216" s="6"/>
      <c r="O216" s="45">
        <v>33300</v>
      </c>
      <c r="P216" s="40" t="s">
        <v>176</v>
      </c>
      <c r="Q216" s="44">
        <v>26.46</v>
      </c>
      <c r="R216" s="44">
        <v>26.46</v>
      </c>
      <c r="S216" t="s">
        <v>433</v>
      </c>
      <c r="T216">
        <f t="shared" si="12"/>
        <v>785862</v>
      </c>
      <c r="U216">
        <f t="shared" si="13"/>
        <v>3600</v>
      </c>
      <c r="V216">
        <f t="shared" si="14"/>
        <v>881118</v>
      </c>
      <c r="W216">
        <f t="shared" si="15"/>
        <v>95256</v>
      </c>
    </row>
    <row r="217" spans="1:23" x14ac:dyDescent="0.25">
      <c r="A217" s="204">
        <v>7203454549</v>
      </c>
      <c r="B217" s="204">
        <v>7203175930</v>
      </c>
      <c r="C217" s="126" t="s">
        <v>177</v>
      </c>
      <c r="D217" s="5">
        <v>6234000600</v>
      </c>
      <c r="E217" s="156">
        <v>44616</v>
      </c>
      <c r="F217" s="155">
        <v>27100</v>
      </c>
      <c r="G217" s="5" t="s">
        <v>421</v>
      </c>
      <c r="H217" s="204">
        <v>5501132737</v>
      </c>
      <c r="I217" s="44">
        <v>2600</v>
      </c>
      <c r="J217" s="42">
        <v>24.74</v>
      </c>
      <c r="K217" s="3" t="s">
        <v>213</v>
      </c>
      <c r="L217" s="3"/>
      <c r="M217" s="6"/>
      <c r="N217" s="6"/>
      <c r="O217" s="45">
        <v>33300</v>
      </c>
      <c r="P217" s="40" t="s">
        <v>176</v>
      </c>
      <c r="Q217" s="44">
        <v>24.74</v>
      </c>
      <c r="R217" s="44">
        <v>24.74</v>
      </c>
      <c r="S217" t="s">
        <v>433</v>
      </c>
      <c r="T217">
        <f t="shared" si="12"/>
        <v>734778</v>
      </c>
      <c r="U217">
        <f t="shared" si="13"/>
        <v>3600</v>
      </c>
      <c r="V217">
        <f t="shared" si="14"/>
        <v>823842</v>
      </c>
      <c r="W217">
        <f t="shared" si="15"/>
        <v>89064</v>
      </c>
    </row>
    <row r="218" spans="1:23" x14ac:dyDescent="0.25">
      <c r="A218" s="204">
        <v>7203454549</v>
      </c>
      <c r="B218" s="204">
        <v>7203175930</v>
      </c>
      <c r="C218" s="126" t="s">
        <v>177</v>
      </c>
      <c r="D218" s="5">
        <v>6234000600</v>
      </c>
      <c r="E218" s="156">
        <v>44616</v>
      </c>
      <c r="F218" s="155">
        <v>27100</v>
      </c>
      <c r="G218" s="5" t="s">
        <v>421</v>
      </c>
      <c r="H218" s="204">
        <v>5501132737</v>
      </c>
      <c r="I218" s="44">
        <v>2600</v>
      </c>
      <c r="J218" s="42">
        <v>24.38</v>
      </c>
      <c r="K218" s="3" t="s">
        <v>183</v>
      </c>
      <c r="L218" s="3" t="s">
        <v>227</v>
      </c>
      <c r="M218" s="6"/>
      <c r="N218" s="6"/>
      <c r="O218" s="45">
        <v>33300</v>
      </c>
      <c r="P218" s="40" t="s">
        <v>176</v>
      </c>
      <c r="Q218" s="44">
        <v>24.38</v>
      </c>
      <c r="R218" s="44">
        <v>24.38</v>
      </c>
      <c r="S218" t="s">
        <v>433</v>
      </c>
      <c r="T218">
        <f t="shared" si="12"/>
        <v>724086</v>
      </c>
      <c r="U218">
        <f t="shared" si="13"/>
        <v>3600</v>
      </c>
      <c r="V218">
        <f t="shared" si="14"/>
        <v>811854</v>
      </c>
      <c r="W218">
        <f t="shared" si="15"/>
        <v>87768</v>
      </c>
    </row>
    <row r="219" spans="1:23" x14ac:dyDescent="0.25">
      <c r="A219" s="204">
        <v>7203454549</v>
      </c>
      <c r="B219" s="204">
        <v>7203175930</v>
      </c>
      <c r="C219" s="126" t="s">
        <v>177</v>
      </c>
      <c r="D219" s="5">
        <v>6234000600</v>
      </c>
      <c r="E219" s="156">
        <v>44617</v>
      </c>
      <c r="F219" s="155">
        <v>27100</v>
      </c>
      <c r="G219" s="5" t="s">
        <v>421</v>
      </c>
      <c r="H219" s="204">
        <v>5506225174</v>
      </c>
      <c r="I219" s="44">
        <v>2400</v>
      </c>
      <c r="J219" s="42">
        <v>26.86</v>
      </c>
      <c r="K219" s="3" t="s">
        <v>99</v>
      </c>
      <c r="L219" s="3" t="s">
        <v>118</v>
      </c>
      <c r="M219" s="6"/>
      <c r="N219" s="6"/>
      <c r="O219" s="45">
        <v>33300</v>
      </c>
      <c r="P219" s="40" t="s">
        <v>176</v>
      </c>
      <c r="Q219" s="44">
        <v>26.86</v>
      </c>
      <c r="R219" s="44">
        <v>26.86</v>
      </c>
      <c r="S219" t="s">
        <v>433</v>
      </c>
      <c r="T219">
        <f t="shared" si="12"/>
        <v>792370</v>
      </c>
      <c r="U219">
        <f t="shared" si="13"/>
        <v>3800</v>
      </c>
      <c r="V219">
        <f t="shared" si="14"/>
        <v>894438</v>
      </c>
      <c r="W219">
        <f t="shared" si="15"/>
        <v>102068</v>
      </c>
    </row>
    <row r="220" spans="1:23" x14ac:dyDescent="0.25">
      <c r="A220" s="204">
        <v>7203454549</v>
      </c>
      <c r="B220" s="204">
        <v>7203175930</v>
      </c>
      <c r="C220" s="126" t="s">
        <v>177</v>
      </c>
      <c r="D220" s="5">
        <v>6234000600</v>
      </c>
      <c r="E220" s="156">
        <v>44617</v>
      </c>
      <c r="F220" s="155">
        <v>27100</v>
      </c>
      <c r="G220" s="5" t="s">
        <v>421</v>
      </c>
      <c r="H220" s="204">
        <v>5501132737</v>
      </c>
      <c r="I220" s="44">
        <v>2600</v>
      </c>
      <c r="J220" s="42">
        <v>26</v>
      </c>
      <c r="K220" s="3" t="s">
        <v>195</v>
      </c>
      <c r="L220" s="3" t="s">
        <v>238</v>
      </c>
      <c r="M220" s="6"/>
      <c r="N220" s="6"/>
      <c r="O220" s="45">
        <v>33300</v>
      </c>
      <c r="P220" s="40" t="s">
        <v>176</v>
      </c>
      <c r="Q220" s="44">
        <v>26</v>
      </c>
      <c r="R220" s="44">
        <v>26</v>
      </c>
      <c r="S220" t="s">
        <v>433</v>
      </c>
      <c r="T220">
        <f t="shared" si="12"/>
        <v>772200</v>
      </c>
      <c r="U220">
        <f t="shared" si="13"/>
        <v>3600</v>
      </c>
      <c r="V220">
        <f t="shared" si="14"/>
        <v>865800</v>
      </c>
      <c r="W220">
        <f t="shared" si="15"/>
        <v>93600</v>
      </c>
    </row>
    <row r="221" spans="1:23" x14ac:dyDescent="0.25">
      <c r="A221" s="204">
        <v>7203454549</v>
      </c>
      <c r="B221" s="204">
        <v>7203175930</v>
      </c>
      <c r="C221" s="126" t="s">
        <v>177</v>
      </c>
      <c r="D221" s="5">
        <v>6234000600</v>
      </c>
      <c r="E221" s="156">
        <v>44617</v>
      </c>
      <c r="F221" s="155">
        <v>27100</v>
      </c>
      <c r="G221" s="5" t="s">
        <v>421</v>
      </c>
      <c r="H221" s="204">
        <v>5501132737</v>
      </c>
      <c r="I221" s="44">
        <v>2600</v>
      </c>
      <c r="J221" s="42">
        <v>26.74</v>
      </c>
      <c r="K221" s="3" t="s">
        <v>196</v>
      </c>
      <c r="L221" s="3" t="s">
        <v>239</v>
      </c>
      <c r="M221" s="6"/>
      <c r="N221" s="6"/>
      <c r="O221" s="45">
        <v>33300</v>
      </c>
      <c r="P221" s="40" t="s">
        <v>176</v>
      </c>
      <c r="Q221" s="44">
        <v>26.74</v>
      </c>
      <c r="R221" s="44">
        <v>26.74</v>
      </c>
      <c r="S221" t="s">
        <v>433</v>
      </c>
      <c r="T221">
        <f t="shared" si="12"/>
        <v>794178</v>
      </c>
      <c r="U221">
        <f t="shared" si="13"/>
        <v>3600</v>
      </c>
      <c r="V221">
        <f t="shared" si="14"/>
        <v>890442</v>
      </c>
      <c r="W221">
        <f t="shared" si="15"/>
        <v>96264</v>
      </c>
    </row>
    <row r="222" spans="1:23" x14ac:dyDescent="0.25">
      <c r="A222" s="204">
        <v>7203454549</v>
      </c>
      <c r="B222" s="204">
        <v>7203175930</v>
      </c>
      <c r="C222" s="126" t="s">
        <v>177</v>
      </c>
      <c r="D222" s="5">
        <v>6234000600</v>
      </c>
      <c r="E222" s="156">
        <v>44617</v>
      </c>
      <c r="F222" s="155">
        <v>27100</v>
      </c>
      <c r="G222" s="5" t="s">
        <v>421</v>
      </c>
      <c r="H222" s="204">
        <v>5501132737</v>
      </c>
      <c r="I222" s="44">
        <v>2600</v>
      </c>
      <c r="J222" s="42">
        <v>26.32</v>
      </c>
      <c r="K222" s="3" t="s">
        <v>189</v>
      </c>
      <c r="L222" s="3" t="s">
        <v>234</v>
      </c>
      <c r="M222" s="6"/>
      <c r="N222" s="6"/>
      <c r="O222" s="45">
        <v>33300</v>
      </c>
      <c r="P222" s="40" t="s">
        <v>176</v>
      </c>
      <c r="Q222" s="44">
        <v>26.32</v>
      </c>
      <c r="R222" s="44">
        <v>26.32</v>
      </c>
      <c r="S222" t="s">
        <v>433</v>
      </c>
      <c r="T222">
        <f t="shared" si="12"/>
        <v>781704</v>
      </c>
      <c r="U222">
        <f t="shared" si="13"/>
        <v>3600</v>
      </c>
      <c r="V222">
        <f t="shared" si="14"/>
        <v>876456</v>
      </c>
      <c r="W222">
        <f t="shared" si="15"/>
        <v>94752</v>
      </c>
    </row>
    <row r="223" spans="1:23" x14ac:dyDescent="0.25">
      <c r="A223" s="204">
        <v>7203454549</v>
      </c>
      <c r="B223" s="204">
        <v>7203175930</v>
      </c>
      <c r="C223" s="126" t="s">
        <v>177</v>
      </c>
      <c r="D223" s="5">
        <v>6234000600</v>
      </c>
      <c r="E223" s="156">
        <v>44617</v>
      </c>
      <c r="F223" s="155">
        <v>27100</v>
      </c>
      <c r="G223" s="5" t="s">
        <v>421</v>
      </c>
      <c r="H223" s="204">
        <v>5501132737</v>
      </c>
      <c r="I223" s="44">
        <v>2600</v>
      </c>
      <c r="J223" s="42">
        <v>26.16</v>
      </c>
      <c r="K223" s="3" t="s">
        <v>16</v>
      </c>
      <c r="L223" s="3" t="s">
        <v>35</v>
      </c>
      <c r="M223" s="6"/>
      <c r="N223" s="6"/>
      <c r="O223" s="45">
        <v>33300</v>
      </c>
      <c r="P223" s="40" t="s">
        <v>176</v>
      </c>
      <c r="Q223" s="44">
        <v>26.16</v>
      </c>
      <c r="R223" s="44">
        <v>26.16</v>
      </c>
      <c r="S223" t="s">
        <v>433</v>
      </c>
      <c r="T223">
        <f t="shared" si="12"/>
        <v>776952</v>
      </c>
      <c r="U223">
        <f t="shared" si="13"/>
        <v>3600</v>
      </c>
      <c r="V223">
        <f t="shared" si="14"/>
        <v>871128</v>
      </c>
      <c r="W223">
        <f t="shared" si="15"/>
        <v>94176</v>
      </c>
    </row>
    <row r="224" spans="1:23" x14ac:dyDescent="0.25">
      <c r="A224" s="204">
        <v>7203454549</v>
      </c>
      <c r="B224" s="204">
        <v>7203175930</v>
      </c>
      <c r="C224" s="126" t="s">
        <v>177</v>
      </c>
      <c r="D224" s="5">
        <v>6234000600</v>
      </c>
      <c r="E224" s="156">
        <v>44617</v>
      </c>
      <c r="F224" s="155">
        <v>27100</v>
      </c>
      <c r="G224" s="5" t="s">
        <v>421</v>
      </c>
      <c r="H224" s="204">
        <v>5501132737</v>
      </c>
      <c r="I224" s="44">
        <v>2600</v>
      </c>
      <c r="J224" s="42">
        <v>25.38</v>
      </c>
      <c r="K224" s="3" t="s">
        <v>190</v>
      </c>
      <c r="L224" s="3" t="s">
        <v>235</v>
      </c>
      <c r="M224" s="6"/>
      <c r="N224" s="6"/>
      <c r="O224" s="45">
        <v>33300</v>
      </c>
      <c r="P224" s="40" t="s">
        <v>176</v>
      </c>
      <c r="Q224" s="44">
        <v>25.38</v>
      </c>
      <c r="R224" s="44">
        <v>25.38</v>
      </c>
      <c r="S224" t="s">
        <v>433</v>
      </c>
      <c r="T224">
        <f t="shared" si="12"/>
        <v>753786</v>
      </c>
      <c r="U224">
        <f t="shared" si="13"/>
        <v>3600</v>
      </c>
      <c r="V224">
        <f t="shared" si="14"/>
        <v>845154</v>
      </c>
      <c r="W224">
        <f t="shared" si="15"/>
        <v>91368</v>
      </c>
    </row>
    <row r="225" spans="1:23" x14ac:dyDescent="0.25">
      <c r="A225" s="204">
        <v>7203454549</v>
      </c>
      <c r="B225" s="204">
        <v>7203175930</v>
      </c>
      <c r="C225" s="126" t="s">
        <v>177</v>
      </c>
      <c r="D225" s="5">
        <v>6234000600</v>
      </c>
      <c r="E225" s="156">
        <v>44618</v>
      </c>
      <c r="F225" s="155">
        <v>27100</v>
      </c>
      <c r="G225" s="5" t="s">
        <v>421</v>
      </c>
      <c r="H225" s="204">
        <v>5506225174</v>
      </c>
      <c r="I225" s="44">
        <v>2400</v>
      </c>
      <c r="J225" s="42">
        <v>26.42</v>
      </c>
      <c r="K225" s="3" t="s">
        <v>93</v>
      </c>
      <c r="L225" s="3" t="s">
        <v>245</v>
      </c>
      <c r="M225" s="6"/>
      <c r="N225" s="6"/>
      <c r="O225" s="45">
        <v>33300</v>
      </c>
      <c r="P225" s="40" t="s">
        <v>176</v>
      </c>
      <c r="Q225" s="44">
        <v>26.42</v>
      </c>
      <c r="R225" s="44">
        <v>26.42</v>
      </c>
      <c r="S225" t="s">
        <v>433</v>
      </c>
      <c r="T225">
        <f t="shared" si="12"/>
        <v>779390</v>
      </c>
      <c r="U225">
        <f t="shared" si="13"/>
        <v>3800</v>
      </c>
      <c r="V225">
        <f t="shared" si="14"/>
        <v>879786</v>
      </c>
      <c r="W225">
        <f t="shared" si="15"/>
        <v>100396</v>
      </c>
    </row>
    <row r="226" spans="1:23" x14ac:dyDescent="0.25">
      <c r="A226" s="204">
        <v>7203454549</v>
      </c>
      <c r="B226" s="204">
        <v>7203175930</v>
      </c>
      <c r="C226" s="126" t="s">
        <v>177</v>
      </c>
      <c r="D226" s="5">
        <v>6234000600</v>
      </c>
      <c r="E226" s="156">
        <v>44618</v>
      </c>
      <c r="F226" s="155">
        <v>27100</v>
      </c>
      <c r="G226" s="5" t="s">
        <v>421</v>
      </c>
      <c r="H226" s="204">
        <v>5501132737</v>
      </c>
      <c r="I226" s="44">
        <v>2600</v>
      </c>
      <c r="J226" s="42">
        <v>26.46</v>
      </c>
      <c r="K226" s="3" t="s">
        <v>114</v>
      </c>
      <c r="L226" s="3" t="s">
        <v>130</v>
      </c>
      <c r="M226" s="6"/>
      <c r="N226" s="6"/>
      <c r="O226" s="45">
        <v>33300</v>
      </c>
      <c r="P226" s="40" t="s">
        <v>176</v>
      </c>
      <c r="Q226" s="44">
        <v>26.46</v>
      </c>
      <c r="R226" s="44">
        <v>26.46</v>
      </c>
      <c r="S226" t="s">
        <v>433</v>
      </c>
      <c r="T226">
        <f t="shared" si="12"/>
        <v>785862</v>
      </c>
      <c r="U226">
        <f t="shared" si="13"/>
        <v>3600</v>
      </c>
      <c r="V226">
        <f t="shared" si="14"/>
        <v>881118</v>
      </c>
      <c r="W226">
        <f t="shared" si="15"/>
        <v>95256</v>
      </c>
    </row>
    <row r="227" spans="1:23" x14ac:dyDescent="0.25">
      <c r="A227" s="204">
        <v>7203454549</v>
      </c>
      <c r="B227" s="204">
        <v>7203175930</v>
      </c>
      <c r="C227" s="126" t="s">
        <v>177</v>
      </c>
      <c r="D227" s="5">
        <v>6234000600</v>
      </c>
      <c r="E227" s="156">
        <v>44618</v>
      </c>
      <c r="F227" s="155">
        <v>27100</v>
      </c>
      <c r="G227" s="5" t="s">
        <v>421</v>
      </c>
      <c r="H227" s="204">
        <v>5501132737</v>
      </c>
      <c r="I227" s="44">
        <v>2600</v>
      </c>
      <c r="J227" s="42">
        <v>26.16</v>
      </c>
      <c r="K227" s="3" t="s">
        <v>113</v>
      </c>
      <c r="L227" s="3" t="s">
        <v>233</v>
      </c>
      <c r="M227" s="6"/>
      <c r="N227" s="6"/>
      <c r="O227" s="45">
        <v>33300</v>
      </c>
      <c r="P227" s="40" t="s">
        <v>176</v>
      </c>
      <c r="Q227" s="44">
        <v>26.16</v>
      </c>
      <c r="R227" s="44">
        <v>26.16</v>
      </c>
      <c r="S227" t="s">
        <v>433</v>
      </c>
      <c r="T227">
        <f t="shared" si="12"/>
        <v>776952</v>
      </c>
      <c r="U227">
        <f t="shared" si="13"/>
        <v>3600</v>
      </c>
      <c r="V227">
        <f t="shared" si="14"/>
        <v>871128</v>
      </c>
      <c r="W227">
        <f t="shared" si="15"/>
        <v>94176</v>
      </c>
    </row>
    <row r="228" spans="1:23" x14ac:dyDescent="0.25">
      <c r="A228" s="204">
        <v>7203454549</v>
      </c>
      <c r="B228" s="204">
        <v>7203175930</v>
      </c>
      <c r="C228" s="126" t="s">
        <v>177</v>
      </c>
      <c r="D228" s="5">
        <v>6234000600</v>
      </c>
      <c r="E228" s="156">
        <v>44618</v>
      </c>
      <c r="F228" s="155">
        <v>27100</v>
      </c>
      <c r="G228" s="5" t="s">
        <v>421</v>
      </c>
      <c r="H228" s="204">
        <v>5501132737</v>
      </c>
      <c r="I228" s="44">
        <v>2600</v>
      </c>
      <c r="J228" s="42">
        <v>26.06</v>
      </c>
      <c r="K228" s="3" t="s">
        <v>197</v>
      </c>
      <c r="L228" s="3" t="s">
        <v>240</v>
      </c>
      <c r="M228" s="6"/>
      <c r="N228" s="6"/>
      <c r="O228" s="45">
        <v>33300</v>
      </c>
      <c r="P228" s="40" t="s">
        <v>176</v>
      </c>
      <c r="Q228" s="44">
        <v>26.06</v>
      </c>
      <c r="R228" s="44">
        <v>26.06</v>
      </c>
      <c r="S228" t="s">
        <v>433</v>
      </c>
      <c r="T228">
        <f t="shared" si="12"/>
        <v>773982</v>
      </c>
      <c r="U228">
        <f t="shared" si="13"/>
        <v>3600</v>
      </c>
      <c r="V228">
        <f t="shared" si="14"/>
        <v>867798</v>
      </c>
      <c r="W228">
        <f t="shared" si="15"/>
        <v>93816</v>
      </c>
    </row>
    <row r="229" spans="1:23" x14ac:dyDescent="0.25">
      <c r="A229" s="204">
        <v>7203454549</v>
      </c>
      <c r="B229" s="204">
        <v>7203175930</v>
      </c>
      <c r="C229" s="126" t="s">
        <v>177</v>
      </c>
      <c r="D229" s="5">
        <v>6234000600</v>
      </c>
      <c r="E229" s="156">
        <v>44618</v>
      </c>
      <c r="F229" s="155">
        <v>27100</v>
      </c>
      <c r="G229" s="5" t="s">
        <v>421</v>
      </c>
      <c r="H229" s="204">
        <v>5501132737</v>
      </c>
      <c r="I229" s="44">
        <v>2600</v>
      </c>
      <c r="J229" s="42">
        <v>24.54</v>
      </c>
      <c r="K229" s="3" t="s">
        <v>183</v>
      </c>
      <c r="L229" s="3" t="s">
        <v>227</v>
      </c>
      <c r="M229" s="6"/>
      <c r="N229" s="6"/>
      <c r="O229" s="45">
        <v>33300</v>
      </c>
      <c r="P229" s="40" t="s">
        <v>176</v>
      </c>
      <c r="Q229" s="44">
        <v>24.54</v>
      </c>
      <c r="R229" s="44">
        <v>24.54</v>
      </c>
      <c r="S229" t="s">
        <v>433</v>
      </c>
      <c r="T229">
        <f t="shared" si="12"/>
        <v>728838</v>
      </c>
      <c r="U229">
        <f t="shared" si="13"/>
        <v>3600</v>
      </c>
      <c r="V229">
        <f t="shared" si="14"/>
        <v>817182</v>
      </c>
      <c r="W229">
        <f t="shared" si="15"/>
        <v>88344</v>
      </c>
    </row>
    <row r="230" spans="1:23" x14ac:dyDescent="0.25">
      <c r="A230" s="204">
        <v>7203454549</v>
      </c>
      <c r="B230" s="204">
        <v>7203175930</v>
      </c>
      <c r="C230" s="126" t="s">
        <v>177</v>
      </c>
      <c r="D230" s="5">
        <v>6234000600</v>
      </c>
      <c r="E230" s="156">
        <v>44619</v>
      </c>
      <c r="F230" s="155">
        <v>27100</v>
      </c>
      <c r="G230" s="5" t="s">
        <v>421</v>
      </c>
      <c r="H230" s="204">
        <v>5501132737</v>
      </c>
      <c r="I230" s="44">
        <v>2600</v>
      </c>
      <c r="J230" s="42">
        <v>24.28</v>
      </c>
      <c r="K230" s="3" t="s">
        <v>214</v>
      </c>
      <c r="L230" s="3" t="s">
        <v>250</v>
      </c>
      <c r="M230" s="6"/>
      <c r="N230" s="6"/>
      <c r="O230" s="45">
        <v>33300</v>
      </c>
      <c r="P230" s="40" t="s">
        <v>176</v>
      </c>
      <c r="Q230" s="44">
        <v>24.28</v>
      </c>
      <c r="R230" s="44">
        <v>24.28</v>
      </c>
      <c r="S230" t="s">
        <v>433</v>
      </c>
      <c r="T230">
        <f t="shared" si="12"/>
        <v>721116</v>
      </c>
      <c r="U230">
        <f t="shared" si="13"/>
        <v>3600</v>
      </c>
      <c r="V230">
        <f t="shared" si="14"/>
        <v>808524</v>
      </c>
      <c r="W230">
        <f t="shared" si="15"/>
        <v>87408</v>
      </c>
    </row>
    <row r="231" spans="1:23" x14ac:dyDescent="0.25">
      <c r="A231" s="204">
        <v>7203454549</v>
      </c>
      <c r="B231" s="204">
        <v>7203175930</v>
      </c>
      <c r="C231" s="126" t="s">
        <v>177</v>
      </c>
      <c r="D231" s="5">
        <v>6234000600</v>
      </c>
      <c r="E231" s="156">
        <v>44620</v>
      </c>
      <c r="F231" s="155">
        <v>27100</v>
      </c>
      <c r="G231" s="5" t="s">
        <v>421</v>
      </c>
      <c r="H231" s="204">
        <v>5506225174</v>
      </c>
      <c r="I231" s="44">
        <v>2400</v>
      </c>
      <c r="J231" s="42">
        <v>26.4</v>
      </c>
      <c r="K231" s="3" t="s">
        <v>104</v>
      </c>
      <c r="L231" s="3" t="s">
        <v>122</v>
      </c>
      <c r="M231" s="6"/>
      <c r="N231" s="6"/>
      <c r="O231" s="45">
        <v>33300</v>
      </c>
      <c r="P231" s="40" t="s">
        <v>176</v>
      </c>
      <c r="Q231" s="44">
        <v>26.4</v>
      </c>
      <c r="R231" s="44">
        <v>26.4</v>
      </c>
      <c r="S231" t="s">
        <v>433</v>
      </c>
      <c r="T231">
        <f t="shared" si="12"/>
        <v>778800</v>
      </c>
      <c r="U231">
        <f t="shared" si="13"/>
        <v>3800</v>
      </c>
      <c r="V231">
        <f t="shared" si="14"/>
        <v>879120</v>
      </c>
      <c r="W231">
        <f t="shared" si="15"/>
        <v>100320</v>
      </c>
    </row>
    <row r="232" spans="1:23" x14ac:dyDescent="0.25">
      <c r="A232" s="204">
        <v>7203454549</v>
      </c>
      <c r="B232" s="204">
        <v>7203175930</v>
      </c>
      <c r="C232" s="126" t="s">
        <v>177</v>
      </c>
      <c r="D232" s="5">
        <v>6234000600</v>
      </c>
      <c r="E232" s="156">
        <v>44621</v>
      </c>
      <c r="F232" s="155">
        <v>27100</v>
      </c>
      <c r="G232" s="5" t="s">
        <v>421</v>
      </c>
      <c r="H232" s="204">
        <v>5501132737</v>
      </c>
      <c r="I232" s="44">
        <v>2600</v>
      </c>
      <c r="J232" s="42">
        <v>25.56</v>
      </c>
      <c r="K232" s="3" t="s">
        <v>209</v>
      </c>
      <c r="L232" s="3" t="s">
        <v>249</v>
      </c>
      <c r="M232" s="6"/>
      <c r="N232" s="6"/>
      <c r="O232" s="45">
        <v>33300</v>
      </c>
      <c r="P232" s="40" t="s">
        <v>176</v>
      </c>
      <c r="Q232" s="44">
        <v>25.56</v>
      </c>
      <c r="R232" s="44">
        <v>25.56</v>
      </c>
      <c r="S232" t="s">
        <v>433</v>
      </c>
      <c r="T232">
        <f t="shared" si="12"/>
        <v>759132</v>
      </c>
      <c r="U232">
        <f t="shared" si="13"/>
        <v>3600</v>
      </c>
      <c r="V232">
        <f t="shared" si="14"/>
        <v>851148</v>
      </c>
      <c r="W232">
        <f t="shared" si="15"/>
        <v>92016</v>
      </c>
    </row>
    <row r="233" spans="1:23" x14ac:dyDescent="0.25">
      <c r="A233" s="204">
        <v>7203454549</v>
      </c>
      <c r="B233" s="204">
        <v>7203175930</v>
      </c>
      <c r="C233" s="126" t="s">
        <v>177</v>
      </c>
      <c r="D233" s="5">
        <v>6234000600</v>
      </c>
      <c r="E233" s="156">
        <v>44621</v>
      </c>
      <c r="F233" s="155">
        <v>27100</v>
      </c>
      <c r="G233" s="5" t="s">
        <v>421</v>
      </c>
      <c r="H233" s="204">
        <v>5501132737</v>
      </c>
      <c r="I233" s="44">
        <v>2600</v>
      </c>
      <c r="J233" s="42">
        <v>25.88</v>
      </c>
      <c r="K233" s="3" t="s">
        <v>194</v>
      </c>
      <c r="L233" s="3" t="s">
        <v>237</v>
      </c>
      <c r="M233" s="6"/>
      <c r="N233" s="6"/>
      <c r="O233" s="45">
        <v>33300</v>
      </c>
      <c r="P233" s="40" t="s">
        <v>176</v>
      </c>
      <c r="Q233" s="44">
        <v>25.88</v>
      </c>
      <c r="R233" s="44">
        <v>25.88</v>
      </c>
      <c r="S233" t="s">
        <v>433</v>
      </c>
      <c r="T233">
        <f t="shared" si="12"/>
        <v>768636</v>
      </c>
      <c r="U233">
        <f t="shared" si="13"/>
        <v>3600</v>
      </c>
      <c r="V233">
        <f t="shared" si="14"/>
        <v>861804</v>
      </c>
      <c r="W233">
        <f t="shared" si="15"/>
        <v>93168</v>
      </c>
    </row>
    <row r="234" spans="1:23" x14ac:dyDescent="0.25">
      <c r="A234" s="204">
        <v>7203454549</v>
      </c>
      <c r="B234" s="204">
        <v>7203175930</v>
      </c>
      <c r="C234" s="126" t="s">
        <v>177</v>
      </c>
      <c r="D234" s="5">
        <v>6234000600</v>
      </c>
      <c r="E234" s="156">
        <v>44621</v>
      </c>
      <c r="F234" s="155">
        <v>27100</v>
      </c>
      <c r="G234" s="5" t="s">
        <v>421</v>
      </c>
      <c r="H234" s="204">
        <v>5501132737</v>
      </c>
      <c r="I234" s="44">
        <v>2600</v>
      </c>
      <c r="J234" s="42">
        <v>25.18</v>
      </c>
      <c r="K234" s="3" t="s">
        <v>184</v>
      </c>
      <c r="L234" s="3" t="s">
        <v>23</v>
      </c>
      <c r="M234" s="6"/>
      <c r="N234" s="6"/>
      <c r="O234" s="45">
        <v>33300</v>
      </c>
      <c r="P234" s="40" t="s">
        <v>176</v>
      </c>
      <c r="Q234" s="44">
        <v>25.18</v>
      </c>
      <c r="R234" s="44">
        <v>25.18</v>
      </c>
      <c r="S234" t="s">
        <v>433</v>
      </c>
      <c r="T234">
        <f t="shared" si="12"/>
        <v>747846</v>
      </c>
      <c r="U234">
        <f t="shared" si="13"/>
        <v>3600</v>
      </c>
      <c r="V234">
        <f t="shared" si="14"/>
        <v>838494</v>
      </c>
      <c r="W234">
        <f t="shared" si="15"/>
        <v>90648</v>
      </c>
    </row>
    <row r="235" spans="1:23" x14ac:dyDescent="0.25">
      <c r="A235" s="204">
        <v>7203454549</v>
      </c>
      <c r="B235" s="204">
        <v>7203175930</v>
      </c>
      <c r="C235" s="126" t="s">
        <v>177</v>
      </c>
      <c r="D235" s="5">
        <v>6234000600</v>
      </c>
      <c r="E235" s="156">
        <v>44621</v>
      </c>
      <c r="F235" s="155">
        <v>27100</v>
      </c>
      <c r="G235" s="5" t="s">
        <v>421</v>
      </c>
      <c r="H235" s="204">
        <v>5501132737</v>
      </c>
      <c r="I235" s="44">
        <v>2600</v>
      </c>
      <c r="J235" s="42">
        <v>25.46</v>
      </c>
      <c r="K235" s="3" t="s">
        <v>196</v>
      </c>
      <c r="L235" s="3" t="s">
        <v>239</v>
      </c>
      <c r="M235" s="6"/>
      <c r="N235" s="6"/>
      <c r="O235" s="45">
        <v>33300</v>
      </c>
      <c r="P235" s="40" t="s">
        <v>176</v>
      </c>
      <c r="Q235" s="44">
        <v>25.46</v>
      </c>
      <c r="R235" s="44">
        <v>25.46</v>
      </c>
      <c r="S235" t="s">
        <v>433</v>
      </c>
      <c r="T235">
        <f t="shared" si="12"/>
        <v>756162</v>
      </c>
      <c r="U235">
        <f t="shared" si="13"/>
        <v>3600</v>
      </c>
      <c r="V235">
        <f t="shared" si="14"/>
        <v>847818</v>
      </c>
      <c r="W235">
        <f t="shared" si="15"/>
        <v>91656</v>
      </c>
    </row>
    <row r="236" spans="1:23" x14ac:dyDescent="0.25">
      <c r="A236" s="204">
        <v>7203454549</v>
      </c>
      <c r="B236" s="204">
        <v>7203175930</v>
      </c>
      <c r="C236" s="126" t="s">
        <v>177</v>
      </c>
      <c r="D236" s="5">
        <v>6234000600</v>
      </c>
      <c r="E236" s="156">
        <v>44621</v>
      </c>
      <c r="F236" s="155">
        <v>27100</v>
      </c>
      <c r="G236" s="5" t="s">
        <v>421</v>
      </c>
      <c r="H236" s="204">
        <v>5506225174</v>
      </c>
      <c r="I236" s="44">
        <v>2400</v>
      </c>
      <c r="J236" s="42">
        <v>26.48</v>
      </c>
      <c r="K236" s="3" t="s">
        <v>93</v>
      </c>
      <c r="L236" s="3" t="s">
        <v>245</v>
      </c>
      <c r="M236" s="6"/>
      <c r="N236" s="6"/>
      <c r="O236" s="45">
        <v>33300</v>
      </c>
      <c r="P236" s="40" t="s">
        <v>176</v>
      </c>
      <c r="Q236" s="44">
        <v>26.48</v>
      </c>
      <c r="R236" s="44">
        <v>26.48</v>
      </c>
      <c r="S236" t="s">
        <v>433</v>
      </c>
      <c r="T236">
        <f t="shared" si="12"/>
        <v>781160</v>
      </c>
      <c r="U236">
        <f t="shared" si="13"/>
        <v>3800</v>
      </c>
      <c r="V236">
        <f t="shared" si="14"/>
        <v>881784</v>
      </c>
      <c r="W236">
        <f t="shared" si="15"/>
        <v>100624</v>
      </c>
    </row>
    <row r="237" spans="1:23" x14ac:dyDescent="0.25">
      <c r="A237" s="204">
        <v>7203454549</v>
      </c>
      <c r="B237" s="204">
        <v>7203175930</v>
      </c>
      <c r="C237" s="126" t="s">
        <v>177</v>
      </c>
      <c r="D237" s="5">
        <v>6234000600</v>
      </c>
      <c r="E237" s="156">
        <v>44621</v>
      </c>
      <c r="F237" s="155">
        <v>27100</v>
      </c>
      <c r="G237" s="5" t="s">
        <v>421</v>
      </c>
      <c r="H237" s="204">
        <v>5506225174</v>
      </c>
      <c r="I237" s="44">
        <v>2400</v>
      </c>
      <c r="J237" s="42">
        <v>23.04</v>
      </c>
      <c r="K237" s="3" t="s">
        <v>202</v>
      </c>
      <c r="L237" s="3" t="s">
        <v>243</v>
      </c>
      <c r="M237" s="6"/>
      <c r="N237" s="6"/>
      <c r="O237" s="45">
        <v>33300</v>
      </c>
      <c r="P237" s="40" t="s">
        <v>176</v>
      </c>
      <c r="Q237" s="44">
        <v>23.04</v>
      </c>
      <c r="R237" s="44">
        <v>23.04</v>
      </c>
      <c r="S237" t="s">
        <v>433</v>
      </c>
      <c r="T237">
        <f t="shared" si="12"/>
        <v>679680</v>
      </c>
      <c r="U237">
        <f t="shared" si="13"/>
        <v>3800</v>
      </c>
      <c r="V237">
        <f t="shared" si="14"/>
        <v>767232</v>
      </c>
      <c r="W237">
        <f t="shared" si="15"/>
        <v>87552</v>
      </c>
    </row>
    <row r="238" spans="1:23" x14ac:dyDescent="0.25">
      <c r="A238" s="204">
        <v>7203454549</v>
      </c>
      <c r="B238" s="204">
        <v>7203175930</v>
      </c>
      <c r="C238" s="126" t="s">
        <v>177</v>
      </c>
      <c r="D238" s="5">
        <v>6234000600</v>
      </c>
      <c r="E238" s="156">
        <v>44621</v>
      </c>
      <c r="F238" s="155">
        <v>27100</v>
      </c>
      <c r="G238" s="5" t="s">
        <v>421</v>
      </c>
      <c r="H238" s="204">
        <v>5506225174</v>
      </c>
      <c r="I238" s="44">
        <v>2400</v>
      </c>
      <c r="J238" s="42">
        <v>23.86</v>
      </c>
      <c r="K238" s="3" t="s">
        <v>18</v>
      </c>
      <c r="L238" s="3" t="s">
        <v>37</v>
      </c>
      <c r="M238" s="6"/>
      <c r="N238" s="6"/>
      <c r="O238" s="45">
        <v>33300</v>
      </c>
      <c r="P238" s="40" t="s">
        <v>176</v>
      </c>
      <c r="Q238" s="44">
        <v>23.86</v>
      </c>
      <c r="R238" s="44">
        <v>23.86</v>
      </c>
      <c r="S238" t="s">
        <v>433</v>
      </c>
      <c r="T238">
        <f t="shared" si="12"/>
        <v>703870</v>
      </c>
      <c r="U238">
        <f t="shared" si="13"/>
        <v>3800</v>
      </c>
      <c r="V238">
        <f t="shared" si="14"/>
        <v>794538</v>
      </c>
      <c r="W238">
        <f t="shared" si="15"/>
        <v>90668</v>
      </c>
    </row>
    <row r="239" spans="1:23" x14ac:dyDescent="0.25">
      <c r="A239" s="204">
        <v>7203454549</v>
      </c>
      <c r="B239" s="204">
        <v>7203175930</v>
      </c>
      <c r="C239" s="126" t="s">
        <v>177</v>
      </c>
      <c r="D239" s="5">
        <v>6234000600</v>
      </c>
      <c r="E239" s="156">
        <v>44622</v>
      </c>
      <c r="F239" s="155">
        <v>27100</v>
      </c>
      <c r="G239" s="5" t="s">
        <v>421</v>
      </c>
      <c r="H239" s="204">
        <v>5501132737</v>
      </c>
      <c r="I239" s="44">
        <v>2600</v>
      </c>
      <c r="J239" s="42">
        <v>24.36</v>
      </c>
      <c r="K239" s="3" t="s">
        <v>214</v>
      </c>
      <c r="L239" s="3" t="s">
        <v>250</v>
      </c>
      <c r="M239" s="6"/>
      <c r="N239" s="6"/>
      <c r="O239" s="45">
        <v>33300</v>
      </c>
      <c r="P239" s="40" t="s">
        <v>176</v>
      </c>
      <c r="Q239" s="44">
        <v>24.36</v>
      </c>
      <c r="R239" s="44">
        <v>24.36</v>
      </c>
      <c r="S239" t="s">
        <v>433</v>
      </c>
      <c r="T239">
        <f t="shared" si="12"/>
        <v>723492</v>
      </c>
      <c r="U239">
        <f t="shared" si="13"/>
        <v>3600</v>
      </c>
      <c r="V239">
        <f t="shared" si="14"/>
        <v>811188</v>
      </c>
      <c r="W239">
        <f t="shared" si="15"/>
        <v>87696</v>
      </c>
    </row>
    <row r="240" spans="1:23" x14ac:dyDescent="0.25">
      <c r="A240" s="204">
        <v>7203454549</v>
      </c>
      <c r="B240" s="204">
        <v>7203175930</v>
      </c>
      <c r="C240" s="126" t="s">
        <v>177</v>
      </c>
      <c r="D240" s="5">
        <v>6234000600</v>
      </c>
      <c r="E240" s="156">
        <v>44622</v>
      </c>
      <c r="F240" s="155">
        <v>27100</v>
      </c>
      <c r="G240" s="5" t="s">
        <v>421</v>
      </c>
      <c r="H240" s="204">
        <v>5501132737</v>
      </c>
      <c r="I240" s="44">
        <v>2600</v>
      </c>
      <c r="J240" s="42">
        <v>25.98</v>
      </c>
      <c r="K240" s="3" t="s">
        <v>197</v>
      </c>
      <c r="L240" s="3" t="s">
        <v>240</v>
      </c>
      <c r="M240" s="6"/>
      <c r="N240" s="6"/>
      <c r="O240" s="45">
        <v>33300</v>
      </c>
      <c r="P240" s="40" t="s">
        <v>176</v>
      </c>
      <c r="Q240" s="44">
        <v>25.98</v>
      </c>
      <c r="R240" s="44">
        <v>25.98</v>
      </c>
      <c r="S240" t="s">
        <v>433</v>
      </c>
      <c r="T240">
        <f t="shared" si="12"/>
        <v>771606</v>
      </c>
      <c r="U240">
        <f t="shared" si="13"/>
        <v>3600</v>
      </c>
      <c r="V240">
        <f t="shared" si="14"/>
        <v>865134</v>
      </c>
      <c r="W240">
        <f t="shared" si="15"/>
        <v>93528</v>
      </c>
    </row>
    <row r="241" spans="1:23" x14ac:dyDescent="0.25">
      <c r="A241" s="204">
        <v>7203454549</v>
      </c>
      <c r="B241" s="204">
        <v>7203175930</v>
      </c>
      <c r="C241" s="126" t="s">
        <v>177</v>
      </c>
      <c r="D241" s="5">
        <v>6234000600</v>
      </c>
      <c r="E241" s="156">
        <v>44622</v>
      </c>
      <c r="F241" s="155">
        <v>27100</v>
      </c>
      <c r="G241" s="5" t="s">
        <v>421</v>
      </c>
      <c r="H241" s="204">
        <v>5501132737</v>
      </c>
      <c r="I241" s="44">
        <v>2600</v>
      </c>
      <c r="J241" s="42">
        <v>23.72</v>
      </c>
      <c r="K241" s="3" t="s">
        <v>203</v>
      </c>
      <c r="L241" s="3" t="s">
        <v>222</v>
      </c>
      <c r="M241" s="6"/>
      <c r="N241" s="6"/>
      <c r="O241" s="45">
        <v>33300</v>
      </c>
      <c r="P241" s="40" t="s">
        <v>176</v>
      </c>
      <c r="Q241" s="44">
        <v>23.72</v>
      </c>
      <c r="R241" s="44">
        <v>23.72</v>
      </c>
      <c r="S241" t="s">
        <v>433</v>
      </c>
      <c r="T241">
        <f t="shared" si="12"/>
        <v>704484</v>
      </c>
      <c r="U241">
        <f t="shared" si="13"/>
        <v>3600</v>
      </c>
      <c r="V241">
        <f t="shared" si="14"/>
        <v>789876</v>
      </c>
      <c r="W241">
        <f t="shared" si="15"/>
        <v>85392</v>
      </c>
    </row>
    <row r="242" spans="1:23" x14ac:dyDescent="0.25">
      <c r="A242" s="204">
        <v>7203454549</v>
      </c>
      <c r="B242" s="204">
        <v>7203175930</v>
      </c>
      <c r="C242" s="126" t="s">
        <v>177</v>
      </c>
      <c r="D242" s="5">
        <v>6234000600</v>
      </c>
      <c r="E242" s="156">
        <v>44622</v>
      </c>
      <c r="F242" s="155">
        <v>27100</v>
      </c>
      <c r="G242" s="5" t="s">
        <v>421</v>
      </c>
      <c r="H242" s="204">
        <v>5501132737</v>
      </c>
      <c r="I242" s="44">
        <v>2600</v>
      </c>
      <c r="J242" s="42">
        <v>24.34</v>
      </c>
      <c r="K242" s="3" t="s">
        <v>208</v>
      </c>
      <c r="L242" s="3" t="s">
        <v>130</v>
      </c>
      <c r="M242" s="6"/>
      <c r="N242" s="6"/>
      <c r="O242" s="45">
        <v>33300</v>
      </c>
      <c r="P242" s="40" t="s">
        <v>176</v>
      </c>
      <c r="Q242" s="44">
        <v>24.34</v>
      </c>
      <c r="R242" s="44">
        <v>24.34</v>
      </c>
      <c r="S242" t="s">
        <v>433</v>
      </c>
      <c r="T242">
        <f t="shared" si="12"/>
        <v>722898</v>
      </c>
      <c r="U242">
        <f t="shared" si="13"/>
        <v>3600</v>
      </c>
      <c r="V242">
        <f t="shared" si="14"/>
        <v>810522</v>
      </c>
      <c r="W242">
        <f t="shared" si="15"/>
        <v>87624</v>
      </c>
    </row>
    <row r="243" spans="1:23" x14ac:dyDescent="0.25">
      <c r="A243" s="204">
        <v>7203454549</v>
      </c>
      <c r="B243" s="204">
        <v>7203175930</v>
      </c>
      <c r="C243" s="126" t="s">
        <v>177</v>
      </c>
      <c r="D243" s="5">
        <v>6234000600</v>
      </c>
      <c r="E243" s="156">
        <v>44622</v>
      </c>
      <c r="F243" s="155">
        <v>27100</v>
      </c>
      <c r="G243" s="5" t="s">
        <v>421</v>
      </c>
      <c r="H243" s="204">
        <v>5501132737</v>
      </c>
      <c r="I243" s="44">
        <v>2600</v>
      </c>
      <c r="J243" s="42">
        <v>24.42</v>
      </c>
      <c r="K243" s="3" t="s">
        <v>198</v>
      </c>
      <c r="L243" s="3" t="s">
        <v>241</v>
      </c>
      <c r="M243" s="6"/>
      <c r="N243" s="6"/>
      <c r="O243" s="45">
        <v>33300</v>
      </c>
      <c r="P243" s="40" t="s">
        <v>176</v>
      </c>
      <c r="Q243" s="44">
        <v>24.42</v>
      </c>
      <c r="R243" s="44">
        <v>24.42</v>
      </c>
      <c r="S243" t="s">
        <v>433</v>
      </c>
      <c r="T243">
        <f t="shared" si="12"/>
        <v>725274</v>
      </c>
      <c r="U243">
        <f t="shared" si="13"/>
        <v>3600</v>
      </c>
      <c r="V243">
        <f t="shared" si="14"/>
        <v>813186</v>
      </c>
      <c r="W243">
        <f t="shared" si="15"/>
        <v>87912</v>
      </c>
    </row>
    <row r="244" spans="1:23" x14ac:dyDescent="0.25">
      <c r="A244" s="204">
        <v>7203454549</v>
      </c>
      <c r="B244" s="204">
        <v>7203175930</v>
      </c>
      <c r="C244" s="126" t="s">
        <v>177</v>
      </c>
      <c r="D244" s="5">
        <v>6234000600</v>
      </c>
      <c r="E244" s="156">
        <v>44623</v>
      </c>
      <c r="F244" s="155">
        <v>27100</v>
      </c>
      <c r="G244" s="5" t="s">
        <v>421</v>
      </c>
      <c r="H244" s="204">
        <v>5501132737</v>
      </c>
      <c r="I244" s="44">
        <v>2600</v>
      </c>
      <c r="J244" s="42">
        <v>24.12</v>
      </c>
      <c r="K244" s="3" t="s">
        <v>182</v>
      </c>
      <c r="L244" s="3" t="s">
        <v>226</v>
      </c>
      <c r="M244" s="6"/>
      <c r="N244" s="6"/>
      <c r="O244" s="45">
        <v>33300</v>
      </c>
      <c r="P244" s="40" t="s">
        <v>176</v>
      </c>
      <c r="Q244" s="44">
        <v>24.12</v>
      </c>
      <c r="R244" s="44">
        <v>24.12</v>
      </c>
      <c r="S244" t="s">
        <v>433</v>
      </c>
      <c r="T244">
        <f t="shared" si="12"/>
        <v>716364</v>
      </c>
      <c r="U244">
        <f t="shared" si="13"/>
        <v>3600</v>
      </c>
      <c r="V244">
        <f t="shared" si="14"/>
        <v>803196</v>
      </c>
      <c r="W244">
        <f t="shared" si="15"/>
        <v>86832</v>
      </c>
    </row>
    <row r="245" spans="1:23" x14ac:dyDescent="0.25">
      <c r="A245" s="204">
        <v>7203454549</v>
      </c>
      <c r="B245" s="204">
        <v>7203175930</v>
      </c>
      <c r="C245" s="126" t="s">
        <v>177</v>
      </c>
      <c r="D245" s="5">
        <v>6234000600</v>
      </c>
      <c r="E245" s="156">
        <v>44623</v>
      </c>
      <c r="F245" s="155">
        <v>27100</v>
      </c>
      <c r="G245" s="5" t="s">
        <v>421</v>
      </c>
      <c r="H245" s="204">
        <v>5501132737</v>
      </c>
      <c r="I245" s="44">
        <v>2600</v>
      </c>
      <c r="J245" s="42">
        <v>26.7</v>
      </c>
      <c r="K245" s="3" t="s">
        <v>194</v>
      </c>
      <c r="L245" s="3" t="s">
        <v>237</v>
      </c>
      <c r="M245" s="6"/>
      <c r="N245" s="6"/>
      <c r="O245" s="45">
        <v>33300</v>
      </c>
      <c r="P245" s="40" t="s">
        <v>176</v>
      </c>
      <c r="Q245" s="44">
        <v>26.7</v>
      </c>
      <c r="R245" s="44">
        <v>26.7</v>
      </c>
      <c r="S245" t="s">
        <v>433</v>
      </c>
      <c r="T245">
        <f t="shared" si="12"/>
        <v>792990</v>
      </c>
      <c r="U245">
        <f t="shared" si="13"/>
        <v>3600</v>
      </c>
      <c r="V245">
        <f t="shared" si="14"/>
        <v>889110</v>
      </c>
      <c r="W245">
        <f t="shared" si="15"/>
        <v>96120</v>
      </c>
    </row>
    <row r="246" spans="1:23" x14ac:dyDescent="0.25">
      <c r="A246" s="204">
        <v>7203454549</v>
      </c>
      <c r="B246" s="204">
        <v>7203175930</v>
      </c>
      <c r="C246" s="126" t="s">
        <v>177</v>
      </c>
      <c r="D246" s="5">
        <v>6234000600</v>
      </c>
      <c r="E246" s="156">
        <v>44623</v>
      </c>
      <c r="F246" s="155">
        <v>27100</v>
      </c>
      <c r="G246" s="5" t="s">
        <v>421</v>
      </c>
      <c r="H246" s="204">
        <v>5501132737</v>
      </c>
      <c r="I246" s="44">
        <v>2600</v>
      </c>
      <c r="J246" s="42">
        <v>26.54</v>
      </c>
      <c r="K246" s="3" t="s">
        <v>196</v>
      </c>
      <c r="L246" s="3" t="s">
        <v>239</v>
      </c>
      <c r="M246" s="6"/>
      <c r="N246" s="6"/>
      <c r="O246" s="45">
        <v>33300</v>
      </c>
      <c r="P246" s="40" t="s">
        <v>176</v>
      </c>
      <c r="Q246" s="44">
        <v>26.54</v>
      </c>
      <c r="R246" s="44">
        <v>26.54</v>
      </c>
      <c r="S246" t="s">
        <v>433</v>
      </c>
      <c r="T246">
        <f t="shared" si="12"/>
        <v>788238</v>
      </c>
      <c r="U246">
        <f t="shared" si="13"/>
        <v>3600</v>
      </c>
      <c r="V246">
        <f t="shared" si="14"/>
        <v>883782</v>
      </c>
      <c r="W246">
        <f t="shared" si="15"/>
        <v>95544</v>
      </c>
    </row>
    <row r="247" spans="1:23" x14ac:dyDescent="0.25">
      <c r="A247" s="204">
        <v>7203454549</v>
      </c>
      <c r="B247" s="204">
        <v>7203175930</v>
      </c>
      <c r="C247" s="126" t="s">
        <v>177</v>
      </c>
      <c r="D247" s="5">
        <v>6234000600</v>
      </c>
      <c r="E247" s="156">
        <v>44624</v>
      </c>
      <c r="F247" s="155">
        <v>27100</v>
      </c>
      <c r="G247" s="5" t="s">
        <v>421</v>
      </c>
      <c r="H247" s="204">
        <v>5506225174</v>
      </c>
      <c r="I247" s="44">
        <v>2400</v>
      </c>
      <c r="J247" s="42">
        <v>26.42</v>
      </c>
      <c r="K247" s="3" t="s">
        <v>215</v>
      </c>
      <c r="L247" s="3"/>
      <c r="M247" s="6"/>
      <c r="N247" s="6"/>
      <c r="O247" s="45">
        <v>33300</v>
      </c>
      <c r="P247" s="40" t="s">
        <v>176</v>
      </c>
      <c r="Q247" s="44">
        <v>26.42</v>
      </c>
      <c r="R247" s="44">
        <v>26.42</v>
      </c>
      <c r="S247" t="s">
        <v>433</v>
      </c>
      <c r="T247">
        <f t="shared" si="12"/>
        <v>779390</v>
      </c>
      <c r="U247">
        <f t="shared" si="13"/>
        <v>3800</v>
      </c>
      <c r="V247">
        <f t="shared" si="14"/>
        <v>879786</v>
      </c>
      <c r="W247">
        <f t="shared" si="15"/>
        <v>100396</v>
      </c>
    </row>
    <row r="248" spans="1:23" x14ac:dyDescent="0.25">
      <c r="A248" s="204">
        <v>7203454549</v>
      </c>
      <c r="B248" s="204">
        <v>7203175930</v>
      </c>
      <c r="C248" s="126" t="s">
        <v>177</v>
      </c>
      <c r="D248" s="5">
        <v>6234000600</v>
      </c>
      <c r="E248" s="156">
        <v>44624</v>
      </c>
      <c r="F248" s="155">
        <v>27100</v>
      </c>
      <c r="G248" s="5" t="s">
        <v>421</v>
      </c>
      <c r="H248" s="204">
        <v>5501132737</v>
      </c>
      <c r="I248" s="44">
        <v>2600</v>
      </c>
      <c r="J248" s="42">
        <v>26.26</v>
      </c>
      <c r="K248" s="3" t="s">
        <v>209</v>
      </c>
      <c r="L248" s="3"/>
      <c r="M248" s="6"/>
      <c r="N248" s="6"/>
      <c r="O248" s="45">
        <v>33300</v>
      </c>
      <c r="P248" s="40" t="s">
        <v>176</v>
      </c>
      <c r="Q248" s="44">
        <v>26.26</v>
      </c>
      <c r="R248" s="44">
        <v>26.26</v>
      </c>
      <c r="S248" t="s">
        <v>433</v>
      </c>
      <c r="T248">
        <f t="shared" si="12"/>
        <v>779922</v>
      </c>
      <c r="U248">
        <f t="shared" si="13"/>
        <v>3600</v>
      </c>
      <c r="V248">
        <f t="shared" si="14"/>
        <v>874458</v>
      </c>
      <c r="W248">
        <f t="shared" si="15"/>
        <v>94536</v>
      </c>
    </row>
    <row r="249" spans="1:23" x14ac:dyDescent="0.25">
      <c r="A249" s="204">
        <v>7203454549</v>
      </c>
      <c r="B249" s="204">
        <v>7203175930</v>
      </c>
      <c r="C249" s="126" t="s">
        <v>177</v>
      </c>
      <c r="D249" s="5">
        <v>6234000600</v>
      </c>
      <c r="E249" s="156">
        <v>44624</v>
      </c>
      <c r="F249" s="155">
        <v>27100</v>
      </c>
      <c r="G249" s="5" t="s">
        <v>421</v>
      </c>
      <c r="H249" s="204">
        <v>5501132737</v>
      </c>
      <c r="I249" s="44">
        <v>2600</v>
      </c>
      <c r="J249" s="42">
        <v>26.38</v>
      </c>
      <c r="K249" s="3" t="s">
        <v>207</v>
      </c>
      <c r="L249" s="3"/>
      <c r="M249" s="6"/>
      <c r="N249" s="6"/>
      <c r="O249" s="45">
        <v>33300</v>
      </c>
      <c r="P249" s="40" t="s">
        <v>176</v>
      </c>
      <c r="Q249" s="44">
        <v>26.38</v>
      </c>
      <c r="R249" s="44">
        <v>26.38</v>
      </c>
      <c r="S249" t="s">
        <v>433</v>
      </c>
      <c r="T249">
        <f t="shared" si="12"/>
        <v>783486</v>
      </c>
      <c r="U249">
        <f t="shared" si="13"/>
        <v>3600</v>
      </c>
      <c r="V249">
        <f t="shared" si="14"/>
        <v>878454</v>
      </c>
      <c r="W249">
        <f t="shared" si="15"/>
        <v>94968</v>
      </c>
    </row>
    <row r="250" spans="1:23" x14ac:dyDescent="0.25">
      <c r="A250" s="204">
        <v>7203454549</v>
      </c>
      <c r="B250" s="204">
        <v>7203175930</v>
      </c>
      <c r="C250" s="126" t="s">
        <v>177</v>
      </c>
      <c r="D250" s="5">
        <v>6234000600</v>
      </c>
      <c r="E250" s="156">
        <v>44624</v>
      </c>
      <c r="F250" s="155">
        <v>27100</v>
      </c>
      <c r="G250" s="5" t="s">
        <v>421</v>
      </c>
      <c r="H250" s="204">
        <v>5501132737</v>
      </c>
      <c r="I250" s="44">
        <v>2600</v>
      </c>
      <c r="J250" s="42">
        <v>26.28</v>
      </c>
      <c r="K250" s="3" t="s">
        <v>197</v>
      </c>
      <c r="L250" s="3"/>
      <c r="M250" s="6"/>
      <c r="N250" s="6"/>
      <c r="O250" s="45">
        <v>33300</v>
      </c>
      <c r="P250" s="40" t="s">
        <v>176</v>
      </c>
      <c r="Q250" s="44">
        <v>26.28</v>
      </c>
      <c r="R250" s="44">
        <v>26.28</v>
      </c>
      <c r="S250" t="s">
        <v>433</v>
      </c>
      <c r="T250">
        <f t="shared" si="12"/>
        <v>780516</v>
      </c>
      <c r="U250">
        <f t="shared" si="13"/>
        <v>3600</v>
      </c>
      <c r="V250">
        <f t="shared" si="14"/>
        <v>875124</v>
      </c>
      <c r="W250">
        <f t="shared" si="15"/>
        <v>94608</v>
      </c>
    </row>
    <row r="251" spans="1:23" x14ac:dyDescent="0.25">
      <c r="A251" s="204">
        <v>7203454549</v>
      </c>
      <c r="B251" s="204">
        <v>7203175930</v>
      </c>
      <c r="C251" s="126" t="s">
        <v>177</v>
      </c>
      <c r="D251" s="5">
        <v>6234000600</v>
      </c>
      <c r="E251" s="156">
        <v>44624</v>
      </c>
      <c r="F251" s="155">
        <v>27100</v>
      </c>
      <c r="G251" s="5" t="s">
        <v>421</v>
      </c>
      <c r="H251" s="204">
        <v>5501132737</v>
      </c>
      <c r="I251" s="44">
        <v>2600</v>
      </c>
      <c r="J251" s="42">
        <v>26.16</v>
      </c>
      <c r="K251" s="3" t="s">
        <v>184</v>
      </c>
      <c r="L251" s="3"/>
      <c r="M251" s="6"/>
      <c r="N251" s="6"/>
      <c r="O251" s="45">
        <v>33300</v>
      </c>
      <c r="P251" s="40" t="s">
        <v>176</v>
      </c>
      <c r="Q251" s="44">
        <v>26.16</v>
      </c>
      <c r="R251" s="44">
        <v>26.16</v>
      </c>
      <c r="S251" t="s">
        <v>433</v>
      </c>
      <c r="T251">
        <f t="shared" si="12"/>
        <v>776952</v>
      </c>
      <c r="U251">
        <f t="shared" si="13"/>
        <v>3600</v>
      </c>
      <c r="V251">
        <f t="shared" si="14"/>
        <v>871128</v>
      </c>
      <c r="W251">
        <f t="shared" si="15"/>
        <v>94176</v>
      </c>
    </row>
    <row r="252" spans="1:23" x14ac:dyDescent="0.25">
      <c r="A252" s="204">
        <v>7203454549</v>
      </c>
      <c r="B252" s="204">
        <v>7203175930</v>
      </c>
      <c r="C252" s="126" t="s">
        <v>177</v>
      </c>
      <c r="D252" s="5">
        <v>6234000600</v>
      </c>
      <c r="E252" s="156">
        <v>44624</v>
      </c>
      <c r="F252" s="155">
        <v>27100</v>
      </c>
      <c r="G252" s="5" t="s">
        <v>421</v>
      </c>
      <c r="H252" s="204">
        <v>5501132737</v>
      </c>
      <c r="I252" s="44">
        <v>2600</v>
      </c>
      <c r="J252" s="42">
        <v>24.32</v>
      </c>
      <c r="K252" s="3" t="s">
        <v>214</v>
      </c>
      <c r="L252" s="3"/>
      <c r="M252" s="6"/>
      <c r="N252" s="6"/>
      <c r="O252" s="45">
        <v>33300</v>
      </c>
      <c r="P252" s="40" t="s">
        <v>176</v>
      </c>
      <c r="Q252" s="44">
        <v>24.32</v>
      </c>
      <c r="R252" s="44">
        <v>24.32</v>
      </c>
      <c r="S252" t="s">
        <v>433</v>
      </c>
      <c r="T252">
        <f t="shared" si="12"/>
        <v>722304</v>
      </c>
      <c r="U252">
        <f t="shared" si="13"/>
        <v>3600</v>
      </c>
      <c r="V252">
        <f t="shared" si="14"/>
        <v>809856</v>
      </c>
      <c r="W252">
        <f t="shared" si="15"/>
        <v>87552</v>
      </c>
    </row>
    <row r="253" spans="1:23" x14ac:dyDescent="0.25">
      <c r="A253" s="204">
        <v>7203454549</v>
      </c>
      <c r="B253" s="204">
        <v>7203175930</v>
      </c>
      <c r="C253" s="126" t="s">
        <v>177</v>
      </c>
      <c r="D253" s="5">
        <v>6234000600</v>
      </c>
      <c r="E253" s="156">
        <v>44624</v>
      </c>
      <c r="F253" s="155">
        <v>27100</v>
      </c>
      <c r="G253" s="5" t="s">
        <v>421</v>
      </c>
      <c r="H253" s="204">
        <v>5501132737</v>
      </c>
      <c r="I253" s="44">
        <v>2600</v>
      </c>
      <c r="J253" s="42">
        <v>24.14</v>
      </c>
      <c r="K253" s="3" t="s">
        <v>216</v>
      </c>
      <c r="L253" s="3"/>
      <c r="M253" s="6"/>
      <c r="N253" s="6"/>
      <c r="O253" s="45">
        <v>33300</v>
      </c>
      <c r="P253" s="40" t="s">
        <v>176</v>
      </c>
      <c r="Q253" s="44">
        <v>24.14</v>
      </c>
      <c r="R253" s="44">
        <v>24.14</v>
      </c>
      <c r="S253" t="s">
        <v>433</v>
      </c>
      <c r="T253">
        <f t="shared" si="12"/>
        <v>716958</v>
      </c>
      <c r="U253">
        <f t="shared" si="13"/>
        <v>3600</v>
      </c>
      <c r="V253">
        <f t="shared" si="14"/>
        <v>803862</v>
      </c>
      <c r="W253">
        <f t="shared" si="15"/>
        <v>86904</v>
      </c>
    </row>
    <row r="254" spans="1:23" x14ac:dyDescent="0.25">
      <c r="A254" s="204">
        <v>7203454549</v>
      </c>
      <c r="B254" s="204">
        <v>7203175930</v>
      </c>
      <c r="C254" s="126" t="s">
        <v>177</v>
      </c>
      <c r="D254" s="5">
        <v>6234000600</v>
      </c>
      <c r="E254" s="156">
        <v>44625</v>
      </c>
      <c r="F254" s="155">
        <v>27100</v>
      </c>
      <c r="G254" s="5" t="s">
        <v>421</v>
      </c>
      <c r="H254" s="204">
        <v>5501208190</v>
      </c>
      <c r="I254" s="44">
        <v>2400</v>
      </c>
      <c r="J254" s="42">
        <v>26.3</v>
      </c>
      <c r="K254" s="3" t="s">
        <v>193</v>
      </c>
      <c r="L254" s="3"/>
      <c r="M254" s="6"/>
      <c r="N254" s="6"/>
      <c r="O254" s="45">
        <v>33300</v>
      </c>
      <c r="P254" s="40" t="s">
        <v>176</v>
      </c>
      <c r="Q254" s="44">
        <v>26.3</v>
      </c>
      <c r="R254" s="44">
        <v>26.3</v>
      </c>
      <c r="S254" t="s">
        <v>433</v>
      </c>
      <c r="T254">
        <f t="shared" si="12"/>
        <v>775850</v>
      </c>
      <c r="U254">
        <f t="shared" si="13"/>
        <v>3800</v>
      </c>
      <c r="V254">
        <f t="shared" si="14"/>
        <v>875790</v>
      </c>
      <c r="W254">
        <f t="shared" si="15"/>
        <v>99940</v>
      </c>
    </row>
    <row r="255" spans="1:23" x14ac:dyDescent="0.25">
      <c r="A255" s="204">
        <v>7203454549</v>
      </c>
      <c r="B255" s="204">
        <v>7203175930</v>
      </c>
      <c r="C255" s="126" t="s">
        <v>177</v>
      </c>
      <c r="D255" s="5">
        <v>6234000600</v>
      </c>
      <c r="E255" s="156">
        <v>44625</v>
      </c>
      <c r="F255" s="155">
        <v>27100</v>
      </c>
      <c r="G255" s="5" t="s">
        <v>421</v>
      </c>
      <c r="H255" s="204">
        <v>5506225174</v>
      </c>
      <c r="I255" s="44">
        <v>2400</v>
      </c>
      <c r="J255" s="42">
        <v>23.7</v>
      </c>
      <c r="K255" s="3" t="s">
        <v>18</v>
      </c>
      <c r="L255" s="3"/>
      <c r="M255" s="6"/>
      <c r="N255" s="6"/>
      <c r="O255" s="45">
        <v>33300</v>
      </c>
      <c r="P255" s="40" t="s">
        <v>176</v>
      </c>
      <c r="Q255" s="44">
        <v>23.7</v>
      </c>
      <c r="R255" s="44">
        <v>23.7</v>
      </c>
      <c r="S255" t="s">
        <v>433</v>
      </c>
      <c r="T255">
        <f t="shared" si="12"/>
        <v>699150</v>
      </c>
      <c r="U255">
        <f t="shared" si="13"/>
        <v>3800</v>
      </c>
      <c r="V255">
        <f t="shared" si="14"/>
        <v>789210</v>
      </c>
      <c r="W255">
        <f t="shared" si="15"/>
        <v>90060</v>
      </c>
    </row>
    <row r="256" spans="1:23" x14ac:dyDescent="0.25">
      <c r="A256" s="204">
        <v>7203454549</v>
      </c>
      <c r="B256" s="204">
        <v>7203175930</v>
      </c>
      <c r="C256" s="126" t="s">
        <v>177</v>
      </c>
      <c r="D256" s="5">
        <v>6234000600</v>
      </c>
      <c r="E256" s="156">
        <v>44625</v>
      </c>
      <c r="F256" s="155">
        <v>27100</v>
      </c>
      <c r="G256" s="5" t="s">
        <v>421</v>
      </c>
      <c r="H256" s="204">
        <v>5506225174</v>
      </c>
      <c r="I256" s="44">
        <v>2400</v>
      </c>
      <c r="J256" s="42">
        <v>26.26</v>
      </c>
      <c r="K256" s="3" t="s">
        <v>200</v>
      </c>
      <c r="L256" s="3"/>
      <c r="M256" s="6"/>
      <c r="N256" s="6"/>
      <c r="O256" s="45">
        <v>33300</v>
      </c>
      <c r="P256" s="40" t="s">
        <v>176</v>
      </c>
      <c r="Q256" s="44">
        <v>26.26</v>
      </c>
      <c r="R256" s="44">
        <v>26.26</v>
      </c>
      <c r="S256" t="s">
        <v>433</v>
      </c>
      <c r="T256">
        <f t="shared" si="12"/>
        <v>774670</v>
      </c>
      <c r="U256">
        <f t="shared" si="13"/>
        <v>3800</v>
      </c>
      <c r="V256">
        <f t="shared" si="14"/>
        <v>874458</v>
      </c>
      <c r="W256">
        <f t="shared" si="15"/>
        <v>99788</v>
      </c>
    </row>
    <row r="257" spans="1:23" x14ac:dyDescent="0.25">
      <c r="A257" s="204">
        <v>7203454549</v>
      </c>
      <c r="B257" s="204">
        <v>7203175930</v>
      </c>
      <c r="C257" s="126" t="s">
        <v>177</v>
      </c>
      <c r="D257" s="5">
        <v>6234000600</v>
      </c>
      <c r="E257" s="156">
        <v>44627</v>
      </c>
      <c r="F257" s="155">
        <v>27100</v>
      </c>
      <c r="G257" s="5" t="s">
        <v>421</v>
      </c>
      <c r="H257" s="204">
        <v>5503182532</v>
      </c>
      <c r="I257" s="44">
        <v>2400</v>
      </c>
      <c r="J257" s="42">
        <v>26.44</v>
      </c>
      <c r="K257" s="3" t="s">
        <v>217</v>
      </c>
      <c r="L257" s="3"/>
      <c r="M257" s="6"/>
      <c r="N257" s="6"/>
      <c r="O257" s="45">
        <v>33300</v>
      </c>
      <c r="P257" s="40" t="s">
        <v>176</v>
      </c>
      <c r="Q257" s="44">
        <v>26.44</v>
      </c>
      <c r="R257" s="44">
        <v>26.44</v>
      </c>
      <c r="S257" t="s">
        <v>433</v>
      </c>
      <c r="T257">
        <f t="shared" si="12"/>
        <v>779980</v>
      </c>
      <c r="U257">
        <f t="shared" si="13"/>
        <v>3800</v>
      </c>
      <c r="V257">
        <f t="shared" si="14"/>
        <v>880452</v>
      </c>
      <c r="W257">
        <f t="shared" si="15"/>
        <v>100472</v>
      </c>
    </row>
    <row r="258" spans="1:23" x14ac:dyDescent="0.25">
      <c r="A258" s="204">
        <v>7203454549</v>
      </c>
      <c r="B258" s="204">
        <v>7203175930</v>
      </c>
      <c r="C258" s="126" t="s">
        <v>177</v>
      </c>
      <c r="D258" s="5">
        <v>6234000600</v>
      </c>
      <c r="E258" s="156">
        <v>44627</v>
      </c>
      <c r="F258" s="155">
        <v>27100</v>
      </c>
      <c r="G258" s="5" t="s">
        <v>421</v>
      </c>
      <c r="H258" s="204">
        <v>5503182532</v>
      </c>
      <c r="I258" s="44">
        <v>2400</v>
      </c>
      <c r="J258" s="42">
        <v>26.02</v>
      </c>
      <c r="K258" s="3" t="s">
        <v>103</v>
      </c>
      <c r="L258" s="3"/>
      <c r="M258" s="6"/>
      <c r="N258" s="6"/>
      <c r="O258" s="45">
        <v>33300</v>
      </c>
      <c r="P258" s="40" t="s">
        <v>176</v>
      </c>
      <c r="Q258" s="44">
        <v>26.02</v>
      </c>
      <c r="R258" s="44">
        <v>26.02</v>
      </c>
      <c r="S258" t="s">
        <v>433</v>
      </c>
      <c r="T258">
        <f t="shared" si="12"/>
        <v>767590</v>
      </c>
      <c r="U258">
        <f t="shared" si="13"/>
        <v>3800</v>
      </c>
      <c r="V258">
        <f t="shared" si="14"/>
        <v>866466</v>
      </c>
      <c r="W258">
        <f t="shared" si="15"/>
        <v>98876</v>
      </c>
    </row>
    <row r="259" spans="1:23" x14ac:dyDescent="0.25">
      <c r="A259" s="204">
        <v>7203454549</v>
      </c>
      <c r="B259" s="204">
        <v>7203175930</v>
      </c>
      <c r="C259" s="126" t="s">
        <v>177</v>
      </c>
      <c r="D259" s="5">
        <v>6234000600</v>
      </c>
      <c r="E259" s="156">
        <v>44627</v>
      </c>
      <c r="F259" s="155">
        <v>27100</v>
      </c>
      <c r="G259" s="5" t="s">
        <v>421</v>
      </c>
      <c r="H259" s="204">
        <v>5503182532</v>
      </c>
      <c r="I259" s="44">
        <v>2400</v>
      </c>
      <c r="J259" s="42">
        <v>26.12</v>
      </c>
      <c r="K259" s="3" t="s">
        <v>97</v>
      </c>
      <c r="L259" s="3"/>
      <c r="M259" s="6"/>
      <c r="N259" s="6"/>
      <c r="O259" s="45">
        <v>33300</v>
      </c>
      <c r="P259" s="40" t="s">
        <v>176</v>
      </c>
      <c r="Q259" s="44">
        <v>26.12</v>
      </c>
      <c r="R259" s="44">
        <v>26.12</v>
      </c>
      <c r="S259" t="s">
        <v>433</v>
      </c>
      <c r="T259">
        <f t="shared" ref="T259:T322" si="16">(I259+F259)*J259</f>
        <v>770540</v>
      </c>
      <c r="U259">
        <f t="shared" ref="U259:U322" si="17">O259-(F259+I259)</f>
        <v>3800</v>
      </c>
      <c r="V259">
        <f t="shared" ref="V259:V322" si="18">O259*J259</f>
        <v>869796</v>
      </c>
      <c r="W259">
        <f t="shared" ref="W259:W322" si="19">V259-T259</f>
        <v>99256</v>
      </c>
    </row>
    <row r="260" spans="1:23" x14ac:dyDescent="0.25">
      <c r="A260" s="204">
        <v>7203454549</v>
      </c>
      <c r="B260" s="204">
        <v>7203175930</v>
      </c>
      <c r="C260" s="126" t="s">
        <v>177</v>
      </c>
      <c r="D260" s="5">
        <v>6234000600</v>
      </c>
      <c r="E260" s="156">
        <v>44627</v>
      </c>
      <c r="F260" s="155">
        <v>27100</v>
      </c>
      <c r="G260" s="5" t="s">
        <v>421</v>
      </c>
      <c r="H260" s="204">
        <v>5501208190</v>
      </c>
      <c r="I260" s="44">
        <v>2400</v>
      </c>
      <c r="J260" s="42">
        <v>24.96</v>
      </c>
      <c r="K260" s="3" t="s">
        <v>218</v>
      </c>
      <c r="L260" s="3"/>
      <c r="M260" s="6"/>
      <c r="N260" s="6"/>
      <c r="O260" s="45">
        <v>33300</v>
      </c>
      <c r="P260" s="40" t="s">
        <v>176</v>
      </c>
      <c r="Q260" s="44">
        <v>24.96</v>
      </c>
      <c r="R260" s="44">
        <v>24.96</v>
      </c>
      <c r="S260" t="s">
        <v>433</v>
      </c>
      <c r="T260">
        <f t="shared" si="16"/>
        <v>736320</v>
      </c>
      <c r="U260">
        <f t="shared" si="17"/>
        <v>3800</v>
      </c>
      <c r="V260">
        <f t="shared" si="18"/>
        <v>831168</v>
      </c>
      <c r="W260">
        <f t="shared" si="19"/>
        <v>94848</v>
      </c>
    </row>
    <row r="261" spans="1:23" x14ac:dyDescent="0.25">
      <c r="A261" s="204">
        <v>7203454549</v>
      </c>
      <c r="B261" s="204">
        <v>7203175930</v>
      </c>
      <c r="C261" s="126" t="s">
        <v>177</v>
      </c>
      <c r="D261" s="5">
        <v>6234000600</v>
      </c>
      <c r="E261" s="156">
        <v>44627</v>
      </c>
      <c r="F261" s="155">
        <v>27100</v>
      </c>
      <c r="G261" s="5" t="s">
        <v>421</v>
      </c>
      <c r="H261" s="204">
        <v>5501208190</v>
      </c>
      <c r="I261" s="44">
        <v>2400</v>
      </c>
      <c r="J261" s="42">
        <v>26.32</v>
      </c>
      <c r="K261" s="3" t="s">
        <v>193</v>
      </c>
      <c r="L261" s="3"/>
      <c r="M261" s="6"/>
      <c r="N261" s="6"/>
      <c r="O261" s="45">
        <v>33300</v>
      </c>
      <c r="P261" s="40" t="s">
        <v>176</v>
      </c>
      <c r="Q261" s="44">
        <v>26.32</v>
      </c>
      <c r="R261" s="44">
        <v>26.32</v>
      </c>
      <c r="S261" t="s">
        <v>433</v>
      </c>
      <c r="T261">
        <f t="shared" si="16"/>
        <v>776440</v>
      </c>
      <c r="U261">
        <f t="shared" si="17"/>
        <v>3800</v>
      </c>
      <c r="V261">
        <f t="shared" si="18"/>
        <v>876456</v>
      </c>
      <c r="W261">
        <f t="shared" si="19"/>
        <v>100016</v>
      </c>
    </row>
    <row r="262" spans="1:23" x14ac:dyDescent="0.25">
      <c r="A262" s="204">
        <v>7203454549</v>
      </c>
      <c r="B262" s="204">
        <v>7203175930</v>
      </c>
      <c r="C262" s="126" t="s">
        <v>177</v>
      </c>
      <c r="D262" s="5">
        <v>6234000600</v>
      </c>
      <c r="E262" s="156">
        <v>44627</v>
      </c>
      <c r="F262" s="155">
        <v>27100</v>
      </c>
      <c r="G262" s="5" t="s">
        <v>421</v>
      </c>
      <c r="H262" s="204">
        <v>5501208190</v>
      </c>
      <c r="I262" s="44">
        <v>2400</v>
      </c>
      <c r="J262" s="42">
        <v>26.32</v>
      </c>
      <c r="K262" s="3" t="s">
        <v>111</v>
      </c>
      <c r="L262" s="3"/>
      <c r="M262" s="6"/>
      <c r="N262" s="6"/>
      <c r="O262" s="45">
        <v>33300</v>
      </c>
      <c r="P262" s="40" t="s">
        <v>176</v>
      </c>
      <c r="Q262" s="44">
        <v>26.32</v>
      </c>
      <c r="R262" s="44">
        <v>26.32</v>
      </c>
      <c r="S262" t="s">
        <v>433</v>
      </c>
      <c r="T262">
        <f t="shared" si="16"/>
        <v>776440</v>
      </c>
      <c r="U262">
        <f t="shared" si="17"/>
        <v>3800</v>
      </c>
      <c r="V262">
        <f t="shared" si="18"/>
        <v>876456</v>
      </c>
      <c r="W262">
        <f t="shared" si="19"/>
        <v>100016</v>
      </c>
    </row>
    <row r="263" spans="1:23" x14ac:dyDescent="0.25">
      <c r="A263" s="204">
        <v>7203454549</v>
      </c>
      <c r="B263" s="204">
        <v>7203175930</v>
      </c>
      <c r="C263" s="126" t="s">
        <v>177</v>
      </c>
      <c r="D263" s="5">
        <v>6234000600</v>
      </c>
      <c r="E263" s="156">
        <v>44627</v>
      </c>
      <c r="F263" s="155">
        <v>27100</v>
      </c>
      <c r="G263" s="5" t="s">
        <v>421</v>
      </c>
      <c r="H263" s="204">
        <v>5501208190</v>
      </c>
      <c r="I263" s="44">
        <v>2400</v>
      </c>
      <c r="J263" s="42">
        <v>26.46</v>
      </c>
      <c r="K263" s="3" t="s">
        <v>112</v>
      </c>
      <c r="L263" s="3"/>
      <c r="M263" s="6"/>
      <c r="N263" s="6"/>
      <c r="O263" s="45">
        <v>33300</v>
      </c>
      <c r="P263" s="40" t="s">
        <v>176</v>
      </c>
      <c r="Q263" s="44">
        <v>26.46</v>
      </c>
      <c r="R263" s="44">
        <v>26.46</v>
      </c>
      <c r="S263" t="s">
        <v>433</v>
      </c>
      <c r="T263">
        <f t="shared" si="16"/>
        <v>780570</v>
      </c>
      <c r="U263">
        <f t="shared" si="17"/>
        <v>3800</v>
      </c>
      <c r="V263">
        <f t="shared" si="18"/>
        <v>881118</v>
      </c>
      <c r="W263">
        <f t="shared" si="19"/>
        <v>100548</v>
      </c>
    </row>
    <row r="264" spans="1:23" x14ac:dyDescent="0.25">
      <c r="A264" s="204">
        <v>7203454549</v>
      </c>
      <c r="B264" s="204">
        <v>7203175930</v>
      </c>
      <c r="C264" s="126" t="s">
        <v>177</v>
      </c>
      <c r="D264" s="5">
        <v>6234000600</v>
      </c>
      <c r="E264" s="156">
        <v>44628</v>
      </c>
      <c r="F264" s="155">
        <v>27100</v>
      </c>
      <c r="G264" s="5" t="s">
        <v>421</v>
      </c>
      <c r="H264" s="204">
        <v>5501208190</v>
      </c>
      <c r="I264" s="44">
        <v>2400</v>
      </c>
      <c r="J264" s="42">
        <v>26.66</v>
      </c>
      <c r="K264" s="3" t="s">
        <v>105</v>
      </c>
      <c r="L264" s="3"/>
      <c r="M264" s="6"/>
      <c r="N264" s="6"/>
      <c r="O264" s="45">
        <v>33300</v>
      </c>
      <c r="P264" s="40" t="s">
        <v>176</v>
      </c>
      <c r="Q264" s="44">
        <v>26.66</v>
      </c>
      <c r="R264" s="44">
        <v>26.66</v>
      </c>
      <c r="S264" t="s">
        <v>433</v>
      </c>
      <c r="T264">
        <f t="shared" si="16"/>
        <v>786470</v>
      </c>
      <c r="U264">
        <f t="shared" si="17"/>
        <v>3800</v>
      </c>
      <c r="V264">
        <f t="shared" si="18"/>
        <v>887778</v>
      </c>
      <c r="W264">
        <f t="shared" si="19"/>
        <v>101308</v>
      </c>
    </row>
    <row r="265" spans="1:23" x14ac:dyDescent="0.25">
      <c r="A265" s="204">
        <v>7203454549</v>
      </c>
      <c r="B265" s="204">
        <v>7203175930</v>
      </c>
      <c r="C265" s="126" t="s">
        <v>177</v>
      </c>
      <c r="D265" s="5">
        <v>6234000600</v>
      </c>
      <c r="E265" s="156">
        <v>44628</v>
      </c>
      <c r="F265" s="155">
        <v>27100</v>
      </c>
      <c r="G265" s="5" t="s">
        <v>421</v>
      </c>
      <c r="H265" s="204">
        <v>5501132737</v>
      </c>
      <c r="I265" s="44">
        <v>2600</v>
      </c>
      <c r="J265" s="42">
        <v>26.1</v>
      </c>
      <c r="K265" s="3"/>
      <c r="L265" s="3"/>
      <c r="M265" s="6"/>
      <c r="N265" s="6"/>
      <c r="O265" s="45">
        <v>33300</v>
      </c>
      <c r="P265" s="40" t="s">
        <v>176</v>
      </c>
      <c r="Q265" s="44">
        <v>26.1</v>
      </c>
      <c r="R265" s="44">
        <v>26.1</v>
      </c>
      <c r="S265" t="s">
        <v>433</v>
      </c>
      <c r="T265">
        <f t="shared" si="16"/>
        <v>775170</v>
      </c>
      <c r="U265">
        <f t="shared" si="17"/>
        <v>3600</v>
      </c>
      <c r="V265">
        <f t="shared" si="18"/>
        <v>869130</v>
      </c>
      <c r="W265">
        <f t="shared" si="19"/>
        <v>93960</v>
      </c>
    </row>
    <row r="266" spans="1:23" x14ac:dyDescent="0.25">
      <c r="A266" s="204">
        <v>7203454549</v>
      </c>
      <c r="B266" s="204">
        <v>7203175930</v>
      </c>
      <c r="C266" s="126" t="s">
        <v>177</v>
      </c>
      <c r="D266" s="5">
        <v>6234000600</v>
      </c>
      <c r="E266" s="156">
        <v>44628</v>
      </c>
      <c r="F266" s="155">
        <v>27100</v>
      </c>
      <c r="G266" s="5" t="s">
        <v>421</v>
      </c>
      <c r="H266" s="204">
        <v>5501132737</v>
      </c>
      <c r="I266" s="44">
        <v>2600</v>
      </c>
      <c r="J266" s="42">
        <v>24.26</v>
      </c>
      <c r="K266" s="3"/>
      <c r="L266" s="3"/>
      <c r="M266" s="6"/>
      <c r="N266" s="6"/>
      <c r="O266" s="45">
        <v>33300</v>
      </c>
      <c r="P266" s="40" t="s">
        <v>176</v>
      </c>
      <c r="Q266" s="44">
        <v>24.26</v>
      </c>
      <c r="R266" s="44">
        <v>24.26</v>
      </c>
      <c r="S266" t="s">
        <v>433</v>
      </c>
      <c r="T266">
        <f t="shared" si="16"/>
        <v>720522</v>
      </c>
      <c r="U266">
        <f t="shared" si="17"/>
        <v>3600</v>
      </c>
      <c r="V266">
        <f t="shared" si="18"/>
        <v>807858</v>
      </c>
      <c r="W266">
        <f t="shared" si="19"/>
        <v>87336</v>
      </c>
    </row>
    <row r="267" spans="1:23" x14ac:dyDescent="0.25">
      <c r="A267" s="204">
        <v>7203454549</v>
      </c>
      <c r="B267" s="204">
        <v>7203175930</v>
      </c>
      <c r="C267" s="126" t="s">
        <v>177</v>
      </c>
      <c r="D267" s="5">
        <v>6234000600</v>
      </c>
      <c r="E267" s="156">
        <v>44628</v>
      </c>
      <c r="F267" s="155">
        <v>27100</v>
      </c>
      <c r="G267" s="5" t="s">
        <v>421</v>
      </c>
      <c r="H267" s="204">
        <v>5501132737</v>
      </c>
      <c r="I267" s="44">
        <v>2600</v>
      </c>
      <c r="J267" s="42">
        <v>24.18</v>
      </c>
      <c r="K267" s="3"/>
      <c r="L267" s="3"/>
      <c r="M267" s="6"/>
      <c r="N267" s="6"/>
      <c r="O267" s="45">
        <v>33300</v>
      </c>
      <c r="P267" s="40" t="s">
        <v>176</v>
      </c>
      <c r="Q267" s="44">
        <v>24.18</v>
      </c>
      <c r="R267" s="44">
        <v>24.18</v>
      </c>
      <c r="S267" t="s">
        <v>433</v>
      </c>
      <c r="T267">
        <f t="shared" si="16"/>
        <v>718146</v>
      </c>
      <c r="U267">
        <f t="shared" si="17"/>
        <v>3600</v>
      </c>
      <c r="V267">
        <f t="shared" si="18"/>
        <v>805194</v>
      </c>
      <c r="W267">
        <f t="shared" si="19"/>
        <v>87048</v>
      </c>
    </row>
    <row r="268" spans="1:23" x14ac:dyDescent="0.25">
      <c r="A268" s="204">
        <v>7203454549</v>
      </c>
      <c r="B268" s="204">
        <v>7203175930</v>
      </c>
      <c r="C268" s="126" t="s">
        <v>177</v>
      </c>
      <c r="D268" s="5">
        <v>6234000600</v>
      </c>
      <c r="E268" s="156">
        <v>44628</v>
      </c>
      <c r="F268" s="155">
        <v>27100</v>
      </c>
      <c r="G268" s="5" t="s">
        <v>421</v>
      </c>
      <c r="H268" s="204">
        <v>5501132737</v>
      </c>
      <c r="I268" s="44">
        <v>2600</v>
      </c>
      <c r="J268" s="42">
        <v>23.86</v>
      </c>
      <c r="K268" s="3"/>
      <c r="L268" s="3"/>
      <c r="M268" s="6"/>
      <c r="N268" s="6"/>
      <c r="O268" s="45">
        <v>33300</v>
      </c>
      <c r="P268" s="40" t="s">
        <v>176</v>
      </c>
      <c r="Q268" s="44">
        <v>23.86</v>
      </c>
      <c r="R268" s="44">
        <v>23.86</v>
      </c>
      <c r="S268" t="s">
        <v>433</v>
      </c>
      <c r="T268">
        <f t="shared" si="16"/>
        <v>708642</v>
      </c>
      <c r="U268">
        <f t="shared" si="17"/>
        <v>3600</v>
      </c>
      <c r="V268">
        <f t="shared" si="18"/>
        <v>794538</v>
      </c>
      <c r="W268">
        <f t="shared" si="19"/>
        <v>85896</v>
      </c>
    </row>
    <row r="269" spans="1:23" x14ac:dyDescent="0.25">
      <c r="A269" s="204">
        <v>7203454549</v>
      </c>
      <c r="B269" s="204">
        <v>7203175930</v>
      </c>
      <c r="C269" s="126" t="s">
        <v>177</v>
      </c>
      <c r="D269" s="5">
        <v>6234000600</v>
      </c>
      <c r="E269" s="156">
        <v>44628</v>
      </c>
      <c r="F269" s="155">
        <v>27100</v>
      </c>
      <c r="G269" s="5" t="s">
        <v>421</v>
      </c>
      <c r="H269" s="204">
        <v>5501132737</v>
      </c>
      <c r="I269" s="44">
        <v>2600</v>
      </c>
      <c r="J269" s="42">
        <v>26.28</v>
      </c>
      <c r="K269" s="3"/>
      <c r="L269" s="3"/>
      <c r="M269" s="6"/>
      <c r="N269" s="6"/>
      <c r="O269" s="45">
        <v>33300</v>
      </c>
      <c r="P269" s="40" t="s">
        <v>176</v>
      </c>
      <c r="Q269" s="44">
        <v>26.28</v>
      </c>
      <c r="R269" s="44">
        <v>26.28</v>
      </c>
      <c r="S269" t="s">
        <v>433</v>
      </c>
      <c r="T269">
        <f t="shared" si="16"/>
        <v>780516</v>
      </c>
      <c r="U269">
        <f t="shared" si="17"/>
        <v>3600</v>
      </c>
      <c r="V269">
        <f t="shared" si="18"/>
        <v>875124</v>
      </c>
      <c r="W269">
        <f t="shared" si="19"/>
        <v>94608</v>
      </c>
    </row>
    <row r="270" spans="1:23" x14ac:dyDescent="0.25">
      <c r="A270" s="204">
        <v>7203454549</v>
      </c>
      <c r="B270" s="204">
        <v>7203175930</v>
      </c>
      <c r="C270" s="126" t="s">
        <v>177</v>
      </c>
      <c r="D270" s="5">
        <v>6234000600</v>
      </c>
      <c r="E270" s="156">
        <v>44629</v>
      </c>
      <c r="F270" s="155">
        <v>27100</v>
      </c>
      <c r="G270" s="5" t="s">
        <v>421</v>
      </c>
      <c r="H270" s="204">
        <v>5501208190</v>
      </c>
      <c r="I270" s="44">
        <v>2400</v>
      </c>
      <c r="J270" s="42">
        <v>26.54</v>
      </c>
      <c r="K270" s="3" t="s">
        <v>3</v>
      </c>
      <c r="L270" s="3"/>
      <c r="M270" s="6"/>
      <c r="N270" s="6"/>
      <c r="O270" s="45">
        <v>33300</v>
      </c>
      <c r="P270" s="40" t="s">
        <v>176</v>
      </c>
      <c r="Q270" s="44">
        <v>26.54</v>
      </c>
      <c r="R270" s="44">
        <v>26.54</v>
      </c>
      <c r="S270" t="s">
        <v>433</v>
      </c>
      <c r="T270">
        <f t="shared" si="16"/>
        <v>782930</v>
      </c>
      <c r="U270">
        <f t="shared" si="17"/>
        <v>3800</v>
      </c>
      <c r="V270">
        <f t="shared" si="18"/>
        <v>883782</v>
      </c>
      <c r="W270">
        <f t="shared" si="19"/>
        <v>100852</v>
      </c>
    </row>
    <row r="271" spans="1:23" x14ac:dyDescent="0.25">
      <c r="A271" s="204">
        <v>7203454549</v>
      </c>
      <c r="B271" s="204">
        <v>7203175930</v>
      </c>
      <c r="C271" s="126" t="s">
        <v>177</v>
      </c>
      <c r="D271" s="5">
        <v>6234000600</v>
      </c>
      <c r="E271" s="156">
        <v>44629</v>
      </c>
      <c r="F271" s="155">
        <v>27100</v>
      </c>
      <c r="G271" s="5" t="s">
        <v>421</v>
      </c>
      <c r="H271" s="204">
        <v>5501132737</v>
      </c>
      <c r="I271" s="44">
        <v>2600</v>
      </c>
      <c r="J271" s="42">
        <v>25.36</v>
      </c>
      <c r="K271" s="3" t="s">
        <v>199</v>
      </c>
      <c r="L271" s="3"/>
      <c r="M271" s="6"/>
      <c r="N271" s="6"/>
      <c r="O271" s="45">
        <v>33300</v>
      </c>
      <c r="P271" s="40" t="s">
        <v>176</v>
      </c>
      <c r="Q271" s="44">
        <v>25.36</v>
      </c>
      <c r="R271" s="44">
        <v>25.36</v>
      </c>
      <c r="S271" t="s">
        <v>433</v>
      </c>
      <c r="T271">
        <f t="shared" si="16"/>
        <v>753192</v>
      </c>
      <c r="U271">
        <f t="shared" si="17"/>
        <v>3600</v>
      </c>
      <c r="V271">
        <f t="shared" si="18"/>
        <v>844488</v>
      </c>
      <c r="W271">
        <f t="shared" si="19"/>
        <v>91296</v>
      </c>
    </row>
    <row r="272" spans="1:23" x14ac:dyDescent="0.25">
      <c r="A272" s="204">
        <v>7203454549</v>
      </c>
      <c r="B272" s="204">
        <v>7203175930</v>
      </c>
      <c r="C272" s="126" t="s">
        <v>177</v>
      </c>
      <c r="D272" s="5">
        <v>6234000600</v>
      </c>
      <c r="E272" s="156">
        <v>44629</v>
      </c>
      <c r="F272" s="155">
        <v>27100</v>
      </c>
      <c r="G272" s="5" t="s">
        <v>421</v>
      </c>
      <c r="H272" s="204">
        <v>5501132737</v>
      </c>
      <c r="I272" s="44">
        <v>2600</v>
      </c>
      <c r="J272" s="42">
        <v>24.2</v>
      </c>
      <c r="K272" s="3" t="s">
        <v>205</v>
      </c>
      <c r="L272" s="3"/>
      <c r="M272" s="6"/>
      <c r="N272" s="6"/>
      <c r="O272" s="45">
        <v>33300</v>
      </c>
      <c r="P272" s="40" t="s">
        <v>176</v>
      </c>
      <c r="Q272" s="44">
        <v>24.2</v>
      </c>
      <c r="R272" s="44">
        <v>24.2</v>
      </c>
      <c r="S272" t="s">
        <v>433</v>
      </c>
      <c r="T272">
        <f t="shared" si="16"/>
        <v>718740</v>
      </c>
      <c r="U272">
        <f t="shared" si="17"/>
        <v>3600</v>
      </c>
      <c r="V272">
        <f t="shared" si="18"/>
        <v>805860</v>
      </c>
      <c r="W272">
        <f t="shared" si="19"/>
        <v>87120</v>
      </c>
    </row>
    <row r="273" spans="1:23" x14ac:dyDescent="0.25">
      <c r="A273" s="204">
        <v>7203454549</v>
      </c>
      <c r="B273" s="204">
        <v>7203175930</v>
      </c>
      <c r="C273" s="126" t="s">
        <v>177</v>
      </c>
      <c r="D273" s="5">
        <v>6234000600</v>
      </c>
      <c r="E273" s="156">
        <v>44629</v>
      </c>
      <c r="F273" s="155">
        <v>27100</v>
      </c>
      <c r="G273" s="5" t="s">
        <v>421</v>
      </c>
      <c r="H273" s="204">
        <v>5501132737</v>
      </c>
      <c r="I273" s="44">
        <v>2600</v>
      </c>
      <c r="J273" s="43">
        <v>24.02</v>
      </c>
      <c r="K273" s="3" t="s">
        <v>183</v>
      </c>
      <c r="L273" s="3"/>
      <c r="M273" s="6"/>
      <c r="N273" s="6"/>
      <c r="O273" s="45">
        <v>33300</v>
      </c>
      <c r="P273" s="43" t="s">
        <v>176</v>
      </c>
      <c r="Q273" s="44">
        <v>24.02</v>
      </c>
      <c r="R273" s="44">
        <v>24.02</v>
      </c>
      <c r="S273" t="s">
        <v>433</v>
      </c>
      <c r="T273">
        <f t="shared" si="16"/>
        <v>713394</v>
      </c>
      <c r="U273">
        <f t="shared" si="17"/>
        <v>3600</v>
      </c>
      <c r="V273">
        <f t="shared" si="18"/>
        <v>799866</v>
      </c>
      <c r="W273">
        <f t="shared" si="19"/>
        <v>86472</v>
      </c>
    </row>
    <row r="274" spans="1:23" x14ac:dyDescent="0.25">
      <c r="A274" s="204">
        <v>7203454549</v>
      </c>
      <c r="B274" s="204">
        <v>7203175930</v>
      </c>
      <c r="C274" s="126" t="s">
        <v>177</v>
      </c>
      <c r="D274" s="5">
        <v>6234000600</v>
      </c>
      <c r="E274" s="156">
        <v>44629</v>
      </c>
      <c r="F274" s="155">
        <v>27100</v>
      </c>
      <c r="G274" s="5" t="s">
        <v>421</v>
      </c>
      <c r="H274" s="204">
        <v>5501132737</v>
      </c>
      <c r="I274" s="44">
        <v>2600</v>
      </c>
      <c r="J274" s="43">
        <v>26.4</v>
      </c>
      <c r="K274" s="3" t="s">
        <v>212</v>
      </c>
      <c r="L274" s="3"/>
      <c r="M274" s="6"/>
      <c r="N274" s="6"/>
      <c r="O274" s="45">
        <v>33300</v>
      </c>
      <c r="P274" s="43" t="s">
        <v>176</v>
      </c>
      <c r="Q274" s="44">
        <v>26.4</v>
      </c>
      <c r="R274" s="44">
        <v>26.4</v>
      </c>
      <c r="S274" t="s">
        <v>433</v>
      </c>
      <c r="T274">
        <f t="shared" si="16"/>
        <v>784080</v>
      </c>
      <c r="U274">
        <f t="shared" si="17"/>
        <v>3600</v>
      </c>
      <c r="V274">
        <f t="shared" si="18"/>
        <v>879120</v>
      </c>
      <c r="W274">
        <f t="shared" si="19"/>
        <v>95040</v>
      </c>
    </row>
    <row r="275" spans="1:23" x14ac:dyDescent="0.25">
      <c r="A275" s="204">
        <v>7203454549</v>
      </c>
      <c r="B275" s="204">
        <v>7203175930</v>
      </c>
      <c r="C275" s="126" t="s">
        <v>252</v>
      </c>
      <c r="D275" s="5">
        <v>6234000600</v>
      </c>
      <c r="E275" s="156">
        <v>44634</v>
      </c>
      <c r="F275" s="155">
        <v>27100</v>
      </c>
      <c r="G275" s="5" t="s">
        <v>421</v>
      </c>
      <c r="H275" s="204">
        <v>5503182532</v>
      </c>
      <c r="I275" s="53">
        <v>2400</v>
      </c>
      <c r="J275" s="49">
        <v>26.54</v>
      </c>
      <c r="K275" s="48" t="s">
        <v>253</v>
      </c>
      <c r="L275" s="6"/>
      <c r="M275" s="6"/>
      <c r="N275" s="6"/>
      <c r="O275" s="54">
        <v>33450</v>
      </c>
      <c r="P275" s="7" t="s">
        <v>251</v>
      </c>
      <c r="Q275" s="49">
        <v>26.54</v>
      </c>
      <c r="R275" s="49">
        <v>26.54</v>
      </c>
      <c r="S275" t="s">
        <v>433</v>
      </c>
      <c r="T275">
        <f t="shared" si="16"/>
        <v>782930</v>
      </c>
      <c r="U275">
        <f t="shared" si="17"/>
        <v>3950</v>
      </c>
      <c r="V275">
        <f t="shared" si="18"/>
        <v>887763</v>
      </c>
      <c r="W275">
        <f t="shared" si="19"/>
        <v>104833</v>
      </c>
    </row>
    <row r="276" spans="1:23" x14ac:dyDescent="0.25">
      <c r="A276" s="204">
        <v>7203454549</v>
      </c>
      <c r="B276" s="204">
        <v>7203175930</v>
      </c>
      <c r="C276" s="126" t="s">
        <v>252</v>
      </c>
      <c r="D276" s="5">
        <v>6234000600</v>
      </c>
      <c r="E276" s="156">
        <v>44634</v>
      </c>
      <c r="F276" s="155">
        <v>27100</v>
      </c>
      <c r="G276" s="5" t="s">
        <v>421</v>
      </c>
      <c r="H276" s="204">
        <v>5503182532</v>
      </c>
      <c r="I276" s="53">
        <v>2400</v>
      </c>
      <c r="J276" s="49">
        <v>26.18</v>
      </c>
      <c r="K276" s="48" t="s">
        <v>217</v>
      </c>
      <c r="L276" s="6"/>
      <c r="M276" s="6"/>
      <c r="N276" s="6"/>
      <c r="O276" s="54">
        <v>33450</v>
      </c>
      <c r="P276" s="7" t="s">
        <v>251</v>
      </c>
      <c r="Q276" s="49">
        <v>26.18</v>
      </c>
      <c r="R276" s="49">
        <v>26.18</v>
      </c>
      <c r="S276" t="s">
        <v>433</v>
      </c>
      <c r="T276">
        <f t="shared" si="16"/>
        <v>772310</v>
      </c>
      <c r="U276">
        <f t="shared" si="17"/>
        <v>3950</v>
      </c>
      <c r="V276">
        <f t="shared" si="18"/>
        <v>875721</v>
      </c>
      <c r="W276">
        <f t="shared" si="19"/>
        <v>103411</v>
      </c>
    </row>
    <row r="277" spans="1:23" x14ac:dyDescent="0.25">
      <c r="A277" s="204">
        <v>7203454549</v>
      </c>
      <c r="B277" s="204">
        <v>7203175930</v>
      </c>
      <c r="C277" s="126" t="s">
        <v>252</v>
      </c>
      <c r="D277" s="5">
        <v>6234000600</v>
      </c>
      <c r="E277" s="156">
        <v>44635</v>
      </c>
      <c r="F277" s="155">
        <v>27100</v>
      </c>
      <c r="G277" s="5" t="s">
        <v>421</v>
      </c>
      <c r="H277" s="204">
        <v>5501132737</v>
      </c>
      <c r="I277" s="53">
        <v>2600</v>
      </c>
      <c r="J277" s="49">
        <v>26.2</v>
      </c>
      <c r="K277" s="48" t="s">
        <v>113</v>
      </c>
      <c r="L277" s="6"/>
      <c r="M277" s="6"/>
      <c r="N277" s="6"/>
      <c r="O277" s="54">
        <v>33450</v>
      </c>
      <c r="P277" s="7" t="s">
        <v>251</v>
      </c>
      <c r="Q277" s="49">
        <v>26.2</v>
      </c>
      <c r="R277" s="49">
        <v>26.2</v>
      </c>
      <c r="S277" t="s">
        <v>433</v>
      </c>
      <c r="T277">
        <f t="shared" si="16"/>
        <v>778140</v>
      </c>
      <c r="U277">
        <f t="shared" si="17"/>
        <v>3750</v>
      </c>
      <c r="V277">
        <f t="shared" si="18"/>
        <v>876390</v>
      </c>
      <c r="W277">
        <f t="shared" si="19"/>
        <v>98250</v>
      </c>
    </row>
    <row r="278" spans="1:23" x14ac:dyDescent="0.25">
      <c r="A278" s="204">
        <v>7203454549</v>
      </c>
      <c r="B278" s="204">
        <v>7203175930</v>
      </c>
      <c r="C278" s="126" t="s">
        <v>252</v>
      </c>
      <c r="D278" s="5">
        <v>6234000600</v>
      </c>
      <c r="E278" s="156">
        <v>44635</v>
      </c>
      <c r="F278" s="155">
        <v>27100</v>
      </c>
      <c r="G278" s="5" t="s">
        <v>421</v>
      </c>
      <c r="H278" s="204">
        <v>5501132737</v>
      </c>
      <c r="I278" s="53">
        <v>2600</v>
      </c>
      <c r="J278" s="49">
        <v>26.46</v>
      </c>
      <c r="K278" s="48" t="s">
        <v>254</v>
      </c>
      <c r="L278" s="6"/>
      <c r="M278" s="6"/>
      <c r="N278" s="6"/>
      <c r="O278" s="54">
        <v>33450</v>
      </c>
      <c r="P278" s="7" t="s">
        <v>251</v>
      </c>
      <c r="Q278" s="49">
        <v>26.46</v>
      </c>
      <c r="R278" s="49">
        <v>26.46</v>
      </c>
      <c r="S278" t="s">
        <v>433</v>
      </c>
      <c r="T278">
        <f t="shared" si="16"/>
        <v>785862</v>
      </c>
      <c r="U278">
        <f t="shared" si="17"/>
        <v>3750</v>
      </c>
      <c r="V278">
        <f t="shared" si="18"/>
        <v>885087</v>
      </c>
      <c r="W278">
        <f t="shared" si="19"/>
        <v>99225</v>
      </c>
    </row>
    <row r="279" spans="1:23" x14ac:dyDescent="0.25">
      <c r="A279" s="204">
        <v>7203454549</v>
      </c>
      <c r="B279" s="204">
        <v>7203175930</v>
      </c>
      <c r="C279" s="126" t="s">
        <v>252</v>
      </c>
      <c r="D279" s="5">
        <v>6234000600</v>
      </c>
      <c r="E279" s="156">
        <v>44635</v>
      </c>
      <c r="F279" s="155">
        <v>27100</v>
      </c>
      <c r="G279" s="5" t="s">
        <v>421</v>
      </c>
      <c r="H279" s="204">
        <v>5501132737</v>
      </c>
      <c r="I279" s="53">
        <v>2600</v>
      </c>
      <c r="J279" s="49">
        <v>26.28</v>
      </c>
      <c r="K279" s="48" t="s">
        <v>255</v>
      </c>
      <c r="L279" s="6"/>
      <c r="M279" s="6"/>
      <c r="N279" s="6"/>
      <c r="O279" s="54">
        <v>33450</v>
      </c>
      <c r="P279" s="7" t="s">
        <v>251</v>
      </c>
      <c r="Q279" s="49">
        <v>26.28</v>
      </c>
      <c r="R279" s="49">
        <v>26.28</v>
      </c>
      <c r="S279" t="s">
        <v>433</v>
      </c>
      <c r="T279">
        <f t="shared" si="16"/>
        <v>780516</v>
      </c>
      <c r="U279">
        <f t="shared" si="17"/>
        <v>3750</v>
      </c>
      <c r="V279">
        <f t="shared" si="18"/>
        <v>879066</v>
      </c>
      <c r="W279">
        <f t="shared" si="19"/>
        <v>98550</v>
      </c>
    </row>
    <row r="280" spans="1:23" x14ac:dyDescent="0.25">
      <c r="A280" s="204">
        <v>7203454549</v>
      </c>
      <c r="B280" s="204">
        <v>7203175930</v>
      </c>
      <c r="C280" s="126" t="s">
        <v>252</v>
      </c>
      <c r="D280" s="5">
        <v>6234000600</v>
      </c>
      <c r="E280" s="156">
        <v>44635</v>
      </c>
      <c r="F280" s="155">
        <v>27100</v>
      </c>
      <c r="G280" s="5" t="s">
        <v>421</v>
      </c>
      <c r="H280" s="204">
        <v>5506225174</v>
      </c>
      <c r="I280" s="53">
        <v>2400</v>
      </c>
      <c r="J280" s="49">
        <v>27.58</v>
      </c>
      <c r="K280" s="48" t="s">
        <v>256</v>
      </c>
      <c r="L280" s="6"/>
      <c r="M280" s="6"/>
      <c r="N280" s="6"/>
      <c r="O280" s="54">
        <v>33450</v>
      </c>
      <c r="P280" s="7" t="s">
        <v>251</v>
      </c>
      <c r="Q280" s="49">
        <v>27.58</v>
      </c>
      <c r="R280" s="49">
        <v>27.58</v>
      </c>
      <c r="S280" t="s">
        <v>433</v>
      </c>
      <c r="T280">
        <f t="shared" si="16"/>
        <v>813610</v>
      </c>
      <c r="U280">
        <f t="shared" si="17"/>
        <v>3950</v>
      </c>
      <c r="V280">
        <f t="shared" si="18"/>
        <v>922551</v>
      </c>
      <c r="W280">
        <f t="shared" si="19"/>
        <v>108941</v>
      </c>
    </row>
    <row r="281" spans="1:23" x14ac:dyDescent="0.25">
      <c r="A281" s="204">
        <v>7203454549</v>
      </c>
      <c r="B281" s="204">
        <v>7203175930</v>
      </c>
      <c r="C281" s="126" t="s">
        <v>252</v>
      </c>
      <c r="D281" s="5">
        <v>6234000600</v>
      </c>
      <c r="E281" s="156">
        <v>44635</v>
      </c>
      <c r="F281" s="155">
        <v>27100</v>
      </c>
      <c r="G281" s="5" t="s">
        <v>421</v>
      </c>
      <c r="H281" s="204">
        <v>5503182532</v>
      </c>
      <c r="I281" s="53">
        <v>2400</v>
      </c>
      <c r="J281" s="49">
        <v>25.98</v>
      </c>
      <c r="K281" s="48" t="s">
        <v>257</v>
      </c>
      <c r="L281" s="6"/>
      <c r="M281" s="6"/>
      <c r="N281" s="6"/>
      <c r="O281" s="54">
        <v>33450</v>
      </c>
      <c r="P281" s="7" t="s">
        <v>251</v>
      </c>
      <c r="Q281" s="49">
        <v>25.98</v>
      </c>
      <c r="R281" s="49">
        <v>25.98</v>
      </c>
      <c r="S281" t="s">
        <v>433</v>
      </c>
      <c r="T281">
        <f t="shared" si="16"/>
        <v>766410</v>
      </c>
      <c r="U281">
        <f t="shared" si="17"/>
        <v>3950</v>
      </c>
      <c r="V281">
        <f t="shared" si="18"/>
        <v>869031</v>
      </c>
      <c r="W281">
        <f t="shared" si="19"/>
        <v>102621</v>
      </c>
    </row>
    <row r="282" spans="1:23" x14ac:dyDescent="0.25">
      <c r="A282" s="204">
        <v>7203454549</v>
      </c>
      <c r="B282" s="204">
        <v>7203175930</v>
      </c>
      <c r="C282" s="126" t="s">
        <v>252</v>
      </c>
      <c r="D282" s="5">
        <v>6234000600</v>
      </c>
      <c r="E282" s="156">
        <v>44636</v>
      </c>
      <c r="F282" s="155">
        <v>27100</v>
      </c>
      <c r="G282" s="5" t="s">
        <v>421</v>
      </c>
      <c r="H282" s="204">
        <v>5501132737</v>
      </c>
      <c r="I282" s="53">
        <v>2600</v>
      </c>
      <c r="J282" s="49">
        <v>24.76</v>
      </c>
      <c r="K282" s="48" t="s">
        <v>258</v>
      </c>
      <c r="L282" s="6"/>
      <c r="M282" s="6"/>
      <c r="N282" s="6"/>
      <c r="O282" s="54">
        <v>33450</v>
      </c>
      <c r="P282" s="7" t="s">
        <v>251</v>
      </c>
      <c r="Q282" s="49">
        <v>24.76</v>
      </c>
      <c r="R282" s="49">
        <v>24.76</v>
      </c>
      <c r="S282" t="s">
        <v>433</v>
      </c>
      <c r="T282">
        <f t="shared" si="16"/>
        <v>735372</v>
      </c>
      <c r="U282">
        <f t="shared" si="17"/>
        <v>3750</v>
      </c>
      <c r="V282">
        <f t="shared" si="18"/>
        <v>828222</v>
      </c>
      <c r="W282">
        <f t="shared" si="19"/>
        <v>92850</v>
      </c>
    </row>
    <row r="283" spans="1:23" x14ac:dyDescent="0.25">
      <c r="A283" s="204">
        <v>7203454549</v>
      </c>
      <c r="B283" s="204">
        <v>7203175930</v>
      </c>
      <c r="C283" s="126" t="s">
        <v>252</v>
      </c>
      <c r="D283" s="5">
        <v>6234000600</v>
      </c>
      <c r="E283" s="156">
        <v>44636</v>
      </c>
      <c r="F283" s="155">
        <v>27100</v>
      </c>
      <c r="G283" s="5" t="s">
        <v>421</v>
      </c>
      <c r="H283" s="204">
        <v>5501208190</v>
      </c>
      <c r="I283" s="53">
        <v>2400</v>
      </c>
      <c r="J283" s="49">
        <v>26.82</v>
      </c>
      <c r="K283" s="48" t="s">
        <v>110</v>
      </c>
      <c r="L283" s="6"/>
      <c r="M283" s="6"/>
      <c r="N283" s="6"/>
      <c r="O283" s="54">
        <v>33450</v>
      </c>
      <c r="P283" s="7" t="s">
        <v>251</v>
      </c>
      <c r="Q283" s="49">
        <v>26.82</v>
      </c>
      <c r="R283" s="49">
        <v>26.82</v>
      </c>
      <c r="S283" t="s">
        <v>433</v>
      </c>
      <c r="T283">
        <f t="shared" si="16"/>
        <v>791190</v>
      </c>
      <c r="U283">
        <f t="shared" si="17"/>
        <v>3950</v>
      </c>
      <c r="V283">
        <f t="shared" si="18"/>
        <v>897129</v>
      </c>
      <c r="W283">
        <f t="shared" si="19"/>
        <v>105939</v>
      </c>
    </row>
    <row r="284" spans="1:23" x14ac:dyDescent="0.25">
      <c r="A284" s="204">
        <v>7203454549</v>
      </c>
      <c r="B284" s="204">
        <v>7203175930</v>
      </c>
      <c r="C284" s="126" t="s">
        <v>252</v>
      </c>
      <c r="D284" s="5">
        <v>6234000600</v>
      </c>
      <c r="E284" s="156">
        <v>44636</v>
      </c>
      <c r="F284" s="155">
        <v>27100</v>
      </c>
      <c r="G284" s="5" t="s">
        <v>421</v>
      </c>
      <c r="H284" s="204">
        <v>5501208190</v>
      </c>
      <c r="I284" s="53">
        <v>2400</v>
      </c>
      <c r="J284" s="49">
        <v>26.62</v>
      </c>
      <c r="K284" s="48" t="s">
        <v>101</v>
      </c>
      <c r="L284" s="6"/>
      <c r="M284" s="6"/>
      <c r="N284" s="6"/>
      <c r="O284" s="54">
        <v>33450</v>
      </c>
      <c r="P284" s="7" t="s">
        <v>251</v>
      </c>
      <c r="Q284" s="49">
        <v>26.62</v>
      </c>
      <c r="R284" s="49">
        <v>26.62</v>
      </c>
      <c r="S284" t="s">
        <v>433</v>
      </c>
      <c r="T284">
        <f t="shared" si="16"/>
        <v>785290</v>
      </c>
      <c r="U284">
        <f t="shared" si="17"/>
        <v>3950</v>
      </c>
      <c r="V284">
        <f t="shared" si="18"/>
        <v>890439</v>
      </c>
      <c r="W284">
        <f t="shared" si="19"/>
        <v>105149</v>
      </c>
    </row>
    <row r="285" spans="1:23" x14ac:dyDescent="0.25">
      <c r="A285" s="204">
        <v>7203454549</v>
      </c>
      <c r="B285" s="204">
        <v>7203175930</v>
      </c>
      <c r="C285" s="126" t="s">
        <v>252</v>
      </c>
      <c r="D285" s="5">
        <v>6234000600</v>
      </c>
      <c r="E285" s="156">
        <v>44638</v>
      </c>
      <c r="F285" s="155">
        <v>27100</v>
      </c>
      <c r="G285" s="5" t="s">
        <v>421</v>
      </c>
      <c r="H285" s="204">
        <v>5503182532</v>
      </c>
      <c r="I285" s="53">
        <v>2400</v>
      </c>
      <c r="J285" s="49">
        <v>26.5</v>
      </c>
      <c r="K285" s="48" t="s">
        <v>253</v>
      </c>
      <c r="L285" s="6"/>
      <c r="M285" s="6"/>
      <c r="N285" s="6"/>
      <c r="O285" s="54">
        <v>33450</v>
      </c>
      <c r="P285" s="7" t="s">
        <v>251</v>
      </c>
      <c r="Q285" s="49">
        <v>26.5</v>
      </c>
      <c r="R285" s="49">
        <v>26.5</v>
      </c>
      <c r="S285" t="s">
        <v>433</v>
      </c>
      <c r="T285">
        <f t="shared" si="16"/>
        <v>781750</v>
      </c>
      <c r="U285">
        <f t="shared" si="17"/>
        <v>3950</v>
      </c>
      <c r="V285">
        <f t="shared" si="18"/>
        <v>886425</v>
      </c>
      <c r="W285">
        <f t="shared" si="19"/>
        <v>104675</v>
      </c>
    </row>
    <row r="286" spans="1:23" x14ac:dyDescent="0.25">
      <c r="A286" s="204">
        <v>7203454549</v>
      </c>
      <c r="B286" s="204">
        <v>7203175930</v>
      </c>
      <c r="C286" s="126" t="s">
        <v>252</v>
      </c>
      <c r="D286" s="5">
        <v>6234000600</v>
      </c>
      <c r="E286" s="156">
        <v>44638</v>
      </c>
      <c r="F286" s="155">
        <v>27100</v>
      </c>
      <c r="G286" s="5" t="s">
        <v>421</v>
      </c>
      <c r="H286" s="204">
        <v>5503182532</v>
      </c>
      <c r="I286" s="53">
        <v>2400</v>
      </c>
      <c r="J286" s="49">
        <v>26.08</v>
      </c>
      <c r="K286" s="48" t="s">
        <v>217</v>
      </c>
      <c r="L286" s="6"/>
      <c r="M286" s="6"/>
      <c r="N286" s="6"/>
      <c r="O286" s="54">
        <v>33450</v>
      </c>
      <c r="P286" s="7" t="s">
        <v>251</v>
      </c>
      <c r="Q286" s="49">
        <v>26.08</v>
      </c>
      <c r="R286" s="49">
        <v>26.08</v>
      </c>
      <c r="S286" t="s">
        <v>433</v>
      </c>
      <c r="T286">
        <f t="shared" si="16"/>
        <v>769360</v>
      </c>
      <c r="U286">
        <f t="shared" si="17"/>
        <v>3950</v>
      </c>
      <c r="V286">
        <f t="shared" si="18"/>
        <v>872376</v>
      </c>
      <c r="W286">
        <f t="shared" si="19"/>
        <v>103016</v>
      </c>
    </row>
    <row r="287" spans="1:23" x14ac:dyDescent="0.25">
      <c r="A287" s="204">
        <v>7203454549</v>
      </c>
      <c r="B287" s="204">
        <v>7203175930</v>
      </c>
      <c r="C287" s="126" t="s">
        <v>252</v>
      </c>
      <c r="D287" s="5">
        <v>6234000600</v>
      </c>
      <c r="E287" s="156">
        <v>44638</v>
      </c>
      <c r="F287" s="155">
        <v>27100</v>
      </c>
      <c r="G287" s="5" t="s">
        <v>421</v>
      </c>
      <c r="H287" s="204">
        <v>5503182532</v>
      </c>
      <c r="I287" s="53">
        <v>2400</v>
      </c>
      <c r="J287" s="49">
        <v>26.08</v>
      </c>
      <c r="K287" s="48" t="s">
        <v>257</v>
      </c>
      <c r="L287" s="6"/>
      <c r="M287" s="6"/>
      <c r="N287" s="6"/>
      <c r="O287" s="54">
        <v>33450</v>
      </c>
      <c r="P287" s="7" t="s">
        <v>251</v>
      </c>
      <c r="Q287" s="49">
        <v>26.08</v>
      </c>
      <c r="R287" s="49">
        <v>26.08</v>
      </c>
      <c r="S287" t="s">
        <v>433</v>
      </c>
      <c r="T287">
        <f t="shared" si="16"/>
        <v>769360</v>
      </c>
      <c r="U287">
        <f t="shared" si="17"/>
        <v>3950</v>
      </c>
      <c r="V287">
        <f t="shared" si="18"/>
        <v>872376</v>
      </c>
      <c r="W287">
        <f t="shared" si="19"/>
        <v>103016</v>
      </c>
    </row>
    <row r="288" spans="1:23" x14ac:dyDescent="0.25">
      <c r="A288" s="204">
        <v>7203454549</v>
      </c>
      <c r="B288" s="204">
        <v>7203175930</v>
      </c>
      <c r="C288" s="126" t="s">
        <v>252</v>
      </c>
      <c r="D288" s="5">
        <v>6234000600</v>
      </c>
      <c r="E288" s="156">
        <v>44641</v>
      </c>
      <c r="F288" s="155">
        <v>27100</v>
      </c>
      <c r="G288" s="5" t="s">
        <v>421</v>
      </c>
      <c r="H288" s="204">
        <v>5503182532</v>
      </c>
      <c r="I288" s="53">
        <v>2400</v>
      </c>
      <c r="J288" s="49">
        <v>26.56</v>
      </c>
      <c r="K288" s="48" t="s">
        <v>253</v>
      </c>
      <c r="L288" s="6"/>
      <c r="M288" s="6"/>
      <c r="N288" s="6"/>
      <c r="O288" s="54">
        <v>33450</v>
      </c>
      <c r="P288" s="7" t="s">
        <v>251</v>
      </c>
      <c r="Q288" s="49">
        <v>26.56</v>
      </c>
      <c r="R288" s="49">
        <v>26.56</v>
      </c>
      <c r="S288" t="s">
        <v>433</v>
      </c>
      <c r="T288">
        <f t="shared" si="16"/>
        <v>783520</v>
      </c>
      <c r="U288">
        <f t="shared" si="17"/>
        <v>3950</v>
      </c>
      <c r="V288">
        <f t="shared" si="18"/>
        <v>888432</v>
      </c>
      <c r="W288">
        <f t="shared" si="19"/>
        <v>104912</v>
      </c>
    </row>
    <row r="289" spans="1:23" x14ac:dyDescent="0.25">
      <c r="A289" s="204">
        <v>7203454549</v>
      </c>
      <c r="B289" s="204">
        <v>7203175930</v>
      </c>
      <c r="C289" s="126" t="s">
        <v>252</v>
      </c>
      <c r="D289" s="5">
        <v>6234000600</v>
      </c>
      <c r="E289" s="156">
        <v>44641</v>
      </c>
      <c r="F289" s="155">
        <v>27100</v>
      </c>
      <c r="G289" s="5" t="s">
        <v>421</v>
      </c>
      <c r="H289" s="204">
        <v>5503182532</v>
      </c>
      <c r="I289" s="53">
        <v>2400</v>
      </c>
      <c r="J289" s="49">
        <v>25.86</v>
      </c>
      <c r="K289" s="48" t="s">
        <v>257</v>
      </c>
      <c r="L289" s="6"/>
      <c r="M289" s="6"/>
      <c r="N289" s="6"/>
      <c r="O289" s="54">
        <v>33450</v>
      </c>
      <c r="P289" s="7" t="s">
        <v>251</v>
      </c>
      <c r="Q289" s="49">
        <v>25.86</v>
      </c>
      <c r="R289" s="49">
        <v>25.86</v>
      </c>
      <c r="S289" t="s">
        <v>433</v>
      </c>
      <c r="T289">
        <f t="shared" si="16"/>
        <v>762870</v>
      </c>
      <c r="U289">
        <f t="shared" si="17"/>
        <v>3950</v>
      </c>
      <c r="V289">
        <f t="shared" si="18"/>
        <v>865017</v>
      </c>
      <c r="W289">
        <f t="shared" si="19"/>
        <v>102147</v>
      </c>
    </row>
    <row r="290" spans="1:23" x14ac:dyDescent="0.25">
      <c r="A290" s="204">
        <v>7203454549</v>
      </c>
      <c r="B290" s="204">
        <v>7203175930</v>
      </c>
      <c r="C290" s="126" t="s">
        <v>252</v>
      </c>
      <c r="D290" s="5">
        <v>6234000600</v>
      </c>
      <c r="E290" s="156">
        <v>44641</v>
      </c>
      <c r="F290" s="155">
        <v>27100</v>
      </c>
      <c r="G290" s="5" t="s">
        <v>421</v>
      </c>
      <c r="H290" s="204">
        <v>5503182532</v>
      </c>
      <c r="I290" s="53">
        <v>2400</v>
      </c>
      <c r="J290" s="49">
        <v>26.26</v>
      </c>
      <c r="K290" s="48" t="s">
        <v>217</v>
      </c>
      <c r="L290" s="6"/>
      <c r="M290" s="6"/>
      <c r="N290" s="6"/>
      <c r="O290" s="54">
        <v>33450</v>
      </c>
      <c r="P290" s="7" t="s">
        <v>251</v>
      </c>
      <c r="Q290" s="49">
        <v>26.26</v>
      </c>
      <c r="R290" s="49">
        <v>26.26</v>
      </c>
      <c r="S290" t="s">
        <v>433</v>
      </c>
      <c r="T290">
        <f t="shared" si="16"/>
        <v>774670</v>
      </c>
      <c r="U290">
        <f t="shared" si="17"/>
        <v>3950</v>
      </c>
      <c r="V290">
        <f t="shared" si="18"/>
        <v>878397</v>
      </c>
      <c r="W290">
        <f t="shared" si="19"/>
        <v>103727</v>
      </c>
    </row>
    <row r="291" spans="1:23" x14ac:dyDescent="0.25">
      <c r="A291" s="204">
        <v>7203454549</v>
      </c>
      <c r="B291" s="204">
        <v>7203175930</v>
      </c>
      <c r="C291" s="126" t="s">
        <v>252</v>
      </c>
      <c r="D291" s="5">
        <v>6234000600</v>
      </c>
      <c r="E291" s="156">
        <v>44641</v>
      </c>
      <c r="F291" s="155">
        <v>27100</v>
      </c>
      <c r="G291" s="5" t="s">
        <v>421</v>
      </c>
      <c r="H291" s="204">
        <v>5506225174</v>
      </c>
      <c r="I291" s="53">
        <v>2400</v>
      </c>
      <c r="J291" s="49">
        <v>27.48</v>
      </c>
      <c r="K291" s="48" t="s">
        <v>259</v>
      </c>
      <c r="L291" s="6"/>
      <c r="M291" s="6"/>
      <c r="N291" s="6"/>
      <c r="O291" s="54">
        <v>33450</v>
      </c>
      <c r="P291" s="7" t="s">
        <v>251</v>
      </c>
      <c r="Q291" s="49">
        <v>27.48</v>
      </c>
      <c r="R291" s="49">
        <v>27.48</v>
      </c>
      <c r="S291" t="s">
        <v>433</v>
      </c>
      <c r="T291">
        <f t="shared" si="16"/>
        <v>810660</v>
      </c>
      <c r="U291">
        <f t="shared" si="17"/>
        <v>3950</v>
      </c>
      <c r="V291">
        <f t="shared" si="18"/>
        <v>919206</v>
      </c>
      <c r="W291">
        <f t="shared" si="19"/>
        <v>108546</v>
      </c>
    </row>
    <row r="292" spans="1:23" x14ac:dyDescent="0.25">
      <c r="A292" s="204">
        <v>7203454549</v>
      </c>
      <c r="B292" s="204">
        <v>7203175930</v>
      </c>
      <c r="C292" s="126" t="s">
        <v>252</v>
      </c>
      <c r="D292" s="5">
        <v>6234000600</v>
      </c>
      <c r="E292" s="156">
        <v>44641</v>
      </c>
      <c r="F292" s="155">
        <v>27100</v>
      </c>
      <c r="G292" s="5" t="s">
        <v>421</v>
      </c>
      <c r="H292" s="204">
        <v>5501208190</v>
      </c>
      <c r="I292" s="53">
        <v>2400</v>
      </c>
      <c r="J292" s="49">
        <v>26.52</v>
      </c>
      <c r="K292" s="48" t="s">
        <v>260</v>
      </c>
      <c r="L292" s="6"/>
      <c r="M292" s="6"/>
      <c r="N292" s="6"/>
      <c r="O292" s="54">
        <v>33450</v>
      </c>
      <c r="P292" s="7" t="s">
        <v>251</v>
      </c>
      <c r="Q292" s="49">
        <v>26.52</v>
      </c>
      <c r="R292" s="49">
        <v>26.52</v>
      </c>
      <c r="S292" t="s">
        <v>433</v>
      </c>
      <c r="T292">
        <f t="shared" si="16"/>
        <v>782340</v>
      </c>
      <c r="U292">
        <f t="shared" si="17"/>
        <v>3950</v>
      </c>
      <c r="V292">
        <f t="shared" si="18"/>
        <v>887094</v>
      </c>
      <c r="W292">
        <f t="shared" si="19"/>
        <v>104754</v>
      </c>
    </row>
    <row r="293" spans="1:23" x14ac:dyDescent="0.25">
      <c r="A293" s="204">
        <v>7203454549</v>
      </c>
      <c r="B293" s="204">
        <v>7203175930</v>
      </c>
      <c r="C293" s="126" t="s">
        <v>252</v>
      </c>
      <c r="D293" s="5">
        <v>6234000600</v>
      </c>
      <c r="E293" s="156">
        <v>44641</v>
      </c>
      <c r="F293" s="155">
        <v>27100</v>
      </c>
      <c r="G293" s="5" t="s">
        <v>421</v>
      </c>
      <c r="H293" s="204">
        <v>5506225174</v>
      </c>
      <c r="I293" s="53">
        <v>2400</v>
      </c>
      <c r="J293" s="49">
        <v>26.72</v>
      </c>
      <c r="K293" s="48" t="s">
        <v>261</v>
      </c>
      <c r="L293" s="6"/>
      <c r="M293" s="6"/>
      <c r="N293" s="6"/>
      <c r="O293" s="54">
        <v>33450</v>
      </c>
      <c r="P293" s="7" t="s">
        <v>251</v>
      </c>
      <c r="Q293" s="49">
        <v>26.72</v>
      </c>
      <c r="R293" s="49">
        <v>26.72</v>
      </c>
      <c r="S293" t="s">
        <v>433</v>
      </c>
      <c r="T293">
        <f t="shared" si="16"/>
        <v>788240</v>
      </c>
      <c r="U293">
        <f t="shared" si="17"/>
        <v>3950</v>
      </c>
      <c r="V293">
        <f t="shared" si="18"/>
        <v>893784</v>
      </c>
      <c r="W293">
        <f t="shared" si="19"/>
        <v>105544</v>
      </c>
    </row>
    <row r="294" spans="1:23" x14ac:dyDescent="0.25">
      <c r="A294" s="204">
        <v>7203454549</v>
      </c>
      <c r="B294" s="204">
        <v>7203175930</v>
      </c>
      <c r="C294" s="126" t="s">
        <v>252</v>
      </c>
      <c r="D294" s="5">
        <v>6234000600</v>
      </c>
      <c r="E294" s="156">
        <v>44641</v>
      </c>
      <c r="F294" s="155">
        <v>27100</v>
      </c>
      <c r="G294" s="5" t="s">
        <v>421</v>
      </c>
      <c r="H294" s="204">
        <v>5501132737</v>
      </c>
      <c r="I294" s="53">
        <v>2600</v>
      </c>
      <c r="J294" s="49">
        <v>26.22</v>
      </c>
      <c r="K294" s="48" t="s">
        <v>255</v>
      </c>
      <c r="L294" s="6"/>
      <c r="M294" s="6"/>
      <c r="N294" s="6"/>
      <c r="O294" s="54">
        <v>33450</v>
      </c>
      <c r="P294" s="7" t="s">
        <v>251</v>
      </c>
      <c r="Q294" s="49">
        <v>26.22</v>
      </c>
      <c r="R294" s="49">
        <v>26.22</v>
      </c>
      <c r="S294" t="s">
        <v>433</v>
      </c>
      <c r="T294">
        <f t="shared" si="16"/>
        <v>778734</v>
      </c>
      <c r="U294">
        <f t="shared" si="17"/>
        <v>3750</v>
      </c>
      <c r="V294">
        <f t="shared" si="18"/>
        <v>877059</v>
      </c>
      <c r="W294">
        <f t="shared" si="19"/>
        <v>98325</v>
      </c>
    </row>
    <row r="295" spans="1:23" x14ac:dyDescent="0.25">
      <c r="A295" s="204">
        <v>7203454549</v>
      </c>
      <c r="B295" s="204">
        <v>7203175930</v>
      </c>
      <c r="C295" s="126" t="s">
        <v>252</v>
      </c>
      <c r="D295" s="5">
        <v>6234000600</v>
      </c>
      <c r="E295" s="156">
        <v>44641</v>
      </c>
      <c r="F295" s="155">
        <v>27100</v>
      </c>
      <c r="G295" s="5" t="s">
        <v>421</v>
      </c>
      <c r="H295" s="204">
        <v>5501132737</v>
      </c>
      <c r="I295" s="53">
        <v>2600</v>
      </c>
      <c r="J295" s="49">
        <v>24.56</v>
      </c>
      <c r="K295" s="48" t="s">
        <v>262</v>
      </c>
      <c r="L295" s="6"/>
      <c r="M295" s="6"/>
      <c r="N295" s="6"/>
      <c r="O295" s="54">
        <v>33450</v>
      </c>
      <c r="P295" s="7" t="s">
        <v>251</v>
      </c>
      <c r="Q295" s="49">
        <v>24.56</v>
      </c>
      <c r="R295" s="49">
        <v>24.56</v>
      </c>
      <c r="S295" t="s">
        <v>433</v>
      </c>
      <c r="T295">
        <f t="shared" si="16"/>
        <v>729432</v>
      </c>
      <c r="U295">
        <f t="shared" si="17"/>
        <v>3750</v>
      </c>
      <c r="V295">
        <f t="shared" si="18"/>
        <v>821532</v>
      </c>
      <c r="W295">
        <f t="shared" si="19"/>
        <v>92100</v>
      </c>
    </row>
    <row r="296" spans="1:23" x14ac:dyDescent="0.25">
      <c r="A296" s="204">
        <v>7203454549</v>
      </c>
      <c r="B296" s="204">
        <v>7203175930</v>
      </c>
      <c r="C296" s="126" t="s">
        <v>252</v>
      </c>
      <c r="D296" s="5">
        <v>6234000600</v>
      </c>
      <c r="E296" s="156">
        <v>44641</v>
      </c>
      <c r="F296" s="155">
        <v>27100</v>
      </c>
      <c r="G296" s="5" t="s">
        <v>421</v>
      </c>
      <c r="H296" s="204">
        <v>5501132737</v>
      </c>
      <c r="I296" s="53">
        <v>2600</v>
      </c>
      <c r="J296" s="49">
        <v>26.06</v>
      </c>
      <c r="K296" s="48" t="s">
        <v>263</v>
      </c>
      <c r="L296" s="6"/>
      <c r="M296" s="6"/>
      <c r="N296" s="6"/>
      <c r="O296" s="54">
        <v>33450</v>
      </c>
      <c r="P296" s="7" t="s">
        <v>251</v>
      </c>
      <c r="Q296" s="49">
        <v>26.06</v>
      </c>
      <c r="R296" s="49">
        <v>26.06</v>
      </c>
      <c r="S296" t="s">
        <v>433</v>
      </c>
      <c r="T296">
        <f t="shared" si="16"/>
        <v>773982</v>
      </c>
      <c r="U296">
        <f t="shared" si="17"/>
        <v>3750</v>
      </c>
      <c r="V296">
        <f t="shared" si="18"/>
        <v>871707</v>
      </c>
      <c r="W296">
        <f t="shared" si="19"/>
        <v>97725</v>
      </c>
    </row>
    <row r="297" spans="1:23" x14ac:dyDescent="0.25">
      <c r="A297" s="204">
        <v>7203454549</v>
      </c>
      <c r="B297" s="204">
        <v>7203175930</v>
      </c>
      <c r="C297" s="126" t="s">
        <v>252</v>
      </c>
      <c r="D297" s="5">
        <v>6234000600</v>
      </c>
      <c r="E297" s="156">
        <v>44641</v>
      </c>
      <c r="F297" s="155">
        <v>27100</v>
      </c>
      <c r="G297" s="5" t="s">
        <v>421</v>
      </c>
      <c r="H297" s="204">
        <v>5501208190</v>
      </c>
      <c r="I297" s="53">
        <v>2400</v>
      </c>
      <c r="J297" s="49">
        <v>26.42</v>
      </c>
      <c r="K297" s="48" t="s">
        <v>193</v>
      </c>
      <c r="L297" s="6"/>
      <c r="M297" s="6"/>
      <c r="N297" s="6"/>
      <c r="O297" s="54">
        <v>33450</v>
      </c>
      <c r="P297" s="7" t="s">
        <v>251</v>
      </c>
      <c r="Q297" s="49">
        <v>26.42</v>
      </c>
      <c r="R297" s="49">
        <v>26.42</v>
      </c>
      <c r="S297" t="s">
        <v>433</v>
      </c>
      <c r="T297">
        <f t="shared" si="16"/>
        <v>779390</v>
      </c>
      <c r="U297">
        <f t="shared" si="17"/>
        <v>3950</v>
      </c>
      <c r="V297">
        <f t="shared" si="18"/>
        <v>883749</v>
      </c>
      <c r="W297">
        <f t="shared" si="19"/>
        <v>104359</v>
      </c>
    </row>
    <row r="298" spans="1:23" x14ac:dyDescent="0.25">
      <c r="A298" s="204">
        <v>7203454549</v>
      </c>
      <c r="B298" s="204">
        <v>7203175930</v>
      </c>
      <c r="C298" s="126" t="s">
        <v>252</v>
      </c>
      <c r="D298" s="5">
        <v>6234000600</v>
      </c>
      <c r="E298" s="156">
        <v>44642</v>
      </c>
      <c r="F298" s="155">
        <v>27100</v>
      </c>
      <c r="G298" s="5" t="s">
        <v>421</v>
      </c>
      <c r="H298" s="204">
        <v>5501132737</v>
      </c>
      <c r="I298" s="53">
        <v>2600</v>
      </c>
      <c r="J298" s="49">
        <v>25.4</v>
      </c>
      <c r="K298" s="48" t="s">
        <v>264</v>
      </c>
      <c r="L298" s="6"/>
      <c r="M298" s="6"/>
      <c r="N298" s="6"/>
      <c r="O298" s="54">
        <v>33450</v>
      </c>
      <c r="P298" s="7" t="s">
        <v>251</v>
      </c>
      <c r="Q298" s="49">
        <v>25.4</v>
      </c>
      <c r="R298" s="49">
        <v>25.4</v>
      </c>
      <c r="S298" t="s">
        <v>433</v>
      </c>
      <c r="T298">
        <f t="shared" si="16"/>
        <v>754380</v>
      </c>
      <c r="U298">
        <f t="shared" si="17"/>
        <v>3750</v>
      </c>
      <c r="V298">
        <f t="shared" si="18"/>
        <v>849630</v>
      </c>
      <c r="W298">
        <f t="shared" si="19"/>
        <v>95250</v>
      </c>
    </row>
    <row r="299" spans="1:23" x14ac:dyDescent="0.25">
      <c r="A299" s="204">
        <v>7203454549</v>
      </c>
      <c r="B299" s="204">
        <v>7203175930</v>
      </c>
      <c r="C299" s="126" t="s">
        <v>252</v>
      </c>
      <c r="D299" s="5">
        <v>6234000600</v>
      </c>
      <c r="E299" s="156">
        <v>44642</v>
      </c>
      <c r="F299" s="155">
        <v>27100</v>
      </c>
      <c r="G299" s="5" t="s">
        <v>421</v>
      </c>
      <c r="H299" s="204">
        <v>5501132737</v>
      </c>
      <c r="I299" s="53">
        <v>2600</v>
      </c>
      <c r="J299" s="49">
        <v>26.24</v>
      </c>
      <c r="K299" s="48" t="s">
        <v>265</v>
      </c>
      <c r="L299" s="6"/>
      <c r="M299" s="6"/>
      <c r="N299" s="6"/>
      <c r="O299" s="54">
        <v>33450</v>
      </c>
      <c r="P299" s="7" t="s">
        <v>251</v>
      </c>
      <c r="Q299" s="49">
        <v>26.24</v>
      </c>
      <c r="R299" s="49">
        <v>26.24</v>
      </c>
      <c r="S299" t="s">
        <v>433</v>
      </c>
      <c r="T299">
        <f t="shared" si="16"/>
        <v>779328</v>
      </c>
      <c r="U299">
        <f t="shared" si="17"/>
        <v>3750</v>
      </c>
      <c r="V299">
        <f t="shared" si="18"/>
        <v>877728</v>
      </c>
      <c r="W299">
        <f t="shared" si="19"/>
        <v>98400</v>
      </c>
    </row>
    <row r="300" spans="1:23" x14ac:dyDescent="0.25">
      <c r="A300" s="204">
        <v>7203454549</v>
      </c>
      <c r="B300" s="204">
        <v>7203175930</v>
      </c>
      <c r="C300" s="126" t="s">
        <v>252</v>
      </c>
      <c r="D300" s="5">
        <v>6234000600</v>
      </c>
      <c r="E300" s="156">
        <v>44642</v>
      </c>
      <c r="F300" s="155">
        <v>27100</v>
      </c>
      <c r="G300" s="5" t="s">
        <v>421</v>
      </c>
      <c r="H300" s="204">
        <v>5501132737</v>
      </c>
      <c r="I300" s="53">
        <v>2600</v>
      </c>
      <c r="J300" s="49">
        <v>26.42</v>
      </c>
      <c r="K300" s="48" t="s">
        <v>266</v>
      </c>
      <c r="L300" s="6"/>
      <c r="M300" s="6"/>
      <c r="N300" s="6"/>
      <c r="O300" s="54">
        <v>33450</v>
      </c>
      <c r="P300" s="7" t="s">
        <v>251</v>
      </c>
      <c r="Q300" s="49">
        <v>26.42</v>
      </c>
      <c r="R300" s="49">
        <v>26.42</v>
      </c>
      <c r="S300" t="s">
        <v>433</v>
      </c>
      <c r="T300">
        <f t="shared" si="16"/>
        <v>784674</v>
      </c>
      <c r="U300">
        <f t="shared" si="17"/>
        <v>3750</v>
      </c>
      <c r="V300">
        <f t="shared" si="18"/>
        <v>883749</v>
      </c>
      <c r="W300">
        <f t="shared" si="19"/>
        <v>99075</v>
      </c>
    </row>
    <row r="301" spans="1:23" x14ac:dyDescent="0.25">
      <c r="A301" s="204">
        <v>7203454549</v>
      </c>
      <c r="B301" s="204">
        <v>7203175930</v>
      </c>
      <c r="C301" s="126" t="s">
        <v>252</v>
      </c>
      <c r="D301" s="5">
        <v>6234000600</v>
      </c>
      <c r="E301" s="156">
        <v>44642</v>
      </c>
      <c r="F301" s="155">
        <v>27100</v>
      </c>
      <c r="G301" s="5" t="s">
        <v>421</v>
      </c>
      <c r="H301" s="204">
        <v>5501132737</v>
      </c>
      <c r="I301" s="53">
        <v>2600</v>
      </c>
      <c r="J301" s="49">
        <v>26.38</v>
      </c>
      <c r="K301" s="48" t="s">
        <v>196</v>
      </c>
      <c r="L301" s="6"/>
      <c r="M301" s="6"/>
      <c r="N301" s="6"/>
      <c r="O301" s="54">
        <v>33450</v>
      </c>
      <c r="P301" s="7" t="s">
        <v>251</v>
      </c>
      <c r="Q301" s="49">
        <v>26.38</v>
      </c>
      <c r="R301" s="49">
        <v>26.38</v>
      </c>
      <c r="S301" t="s">
        <v>433</v>
      </c>
      <c r="T301">
        <f t="shared" si="16"/>
        <v>783486</v>
      </c>
      <c r="U301">
        <f t="shared" si="17"/>
        <v>3750</v>
      </c>
      <c r="V301">
        <f t="shared" si="18"/>
        <v>882411</v>
      </c>
      <c r="W301">
        <f t="shared" si="19"/>
        <v>98925</v>
      </c>
    </row>
    <row r="302" spans="1:23" x14ac:dyDescent="0.25">
      <c r="A302" s="204">
        <v>7203454549</v>
      </c>
      <c r="B302" s="204">
        <v>7203175930</v>
      </c>
      <c r="C302" s="126" t="s">
        <v>252</v>
      </c>
      <c r="D302" s="5">
        <v>6234000600</v>
      </c>
      <c r="E302" s="156">
        <v>44644</v>
      </c>
      <c r="F302" s="155">
        <v>29040</v>
      </c>
      <c r="G302" s="214" t="s">
        <v>1</v>
      </c>
      <c r="H302" s="47"/>
      <c r="I302" s="53">
        <v>0</v>
      </c>
      <c r="J302" s="49">
        <v>25.8</v>
      </c>
      <c r="K302" s="48" t="s">
        <v>257</v>
      </c>
      <c r="L302" s="6"/>
      <c r="M302" s="6"/>
      <c r="N302" s="6"/>
      <c r="O302" s="54">
        <v>33450</v>
      </c>
      <c r="P302" s="7" t="s">
        <v>251</v>
      </c>
      <c r="Q302" s="49">
        <v>25.8</v>
      </c>
      <c r="R302" s="49">
        <v>25.8</v>
      </c>
      <c r="S302" t="s">
        <v>433</v>
      </c>
      <c r="T302">
        <f t="shared" si="16"/>
        <v>749232</v>
      </c>
      <c r="U302">
        <f t="shared" si="17"/>
        <v>4410</v>
      </c>
      <c r="V302">
        <f t="shared" si="18"/>
        <v>863010</v>
      </c>
      <c r="W302">
        <f t="shared" si="19"/>
        <v>113778</v>
      </c>
    </row>
    <row r="303" spans="1:23" x14ac:dyDescent="0.25">
      <c r="A303" s="204">
        <v>7203454549</v>
      </c>
      <c r="B303" s="204">
        <v>7203175930</v>
      </c>
      <c r="C303" s="126" t="s">
        <v>252</v>
      </c>
      <c r="D303" s="5">
        <v>6234000600</v>
      </c>
      <c r="E303" s="156">
        <v>44644</v>
      </c>
      <c r="F303" s="155">
        <v>29040</v>
      </c>
      <c r="G303" s="214" t="s">
        <v>1</v>
      </c>
      <c r="H303" s="47"/>
      <c r="I303" s="53">
        <v>0</v>
      </c>
      <c r="J303" s="49">
        <v>26.38</v>
      </c>
      <c r="K303" s="48" t="s">
        <v>253</v>
      </c>
      <c r="L303" s="6"/>
      <c r="M303" s="6"/>
      <c r="N303" s="6"/>
      <c r="O303" s="54">
        <v>33450</v>
      </c>
      <c r="P303" s="7" t="s">
        <v>251</v>
      </c>
      <c r="Q303" s="49">
        <v>26.38</v>
      </c>
      <c r="R303" s="49">
        <v>26.38</v>
      </c>
      <c r="S303" t="s">
        <v>433</v>
      </c>
      <c r="T303">
        <f t="shared" si="16"/>
        <v>766075.2</v>
      </c>
      <c r="U303">
        <f t="shared" si="17"/>
        <v>4410</v>
      </c>
      <c r="V303">
        <f t="shared" si="18"/>
        <v>882411</v>
      </c>
      <c r="W303">
        <f t="shared" si="19"/>
        <v>116335.80000000005</v>
      </c>
    </row>
    <row r="304" spans="1:23" x14ac:dyDescent="0.25">
      <c r="A304" s="204">
        <v>7203454549</v>
      </c>
      <c r="B304" s="204">
        <v>7203175930</v>
      </c>
      <c r="C304" s="126" t="s">
        <v>252</v>
      </c>
      <c r="D304" s="5">
        <v>6234000600</v>
      </c>
      <c r="E304" s="156">
        <v>44644</v>
      </c>
      <c r="F304" s="155">
        <v>29040</v>
      </c>
      <c r="G304" s="214" t="s">
        <v>1</v>
      </c>
      <c r="H304" s="47"/>
      <c r="I304" s="53">
        <v>0</v>
      </c>
      <c r="J304" s="49">
        <v>26.24</v>
      </c>
      <c r="K304" s="48" t="s">
        <v>267</v>
      </c>
      <c r="L304" s="6"/>
      <c r="M304" s="6"/>
      <c r="N304" s="6"/>
      <c r="O304" s="54">
        <v>33450</v>
      </c>
      <c r="P304" s="7" t="s">
        <v>251</v>
      </c>
      <c r="Q304" s="49">
        <v>26.24</v>
      </c>
      <c r="R304" s="49">
        <v>26.24</v>
      </c>
      <c r="S304" t="s">
        <v>433</v>
      </c>
      <c r="T304">
        <f t="shared" si="16"/>
        <v>762009.59999999998</v>
      </c>
      <c r="U304">
        <f t="shared" si="17"/>
        <v>4410</v>
      </c>
      <c r="V304">
        <f t="shared" si="18"/>
        <v>877728</v>
      </c>
      <c r="W304">
        <f t="shared" si="19"/>
        <v>115718.40000000002</v>
      </c>
    </row>
    <row r="305" spans="1:23" x14ac:dyDescent="0.25">
      <c r="A305" s="204">
        <v>7203454549</v>
      </c>
      <c r="B305" s="204">
        <v>7203175930</v>
      </c>
      <c r="C305" s="126" t="s">
        <v>252</v>
      </c>
      <c r="D305" s="5">
        <v>6234000600</v>
      </c>
      <c r="E305" s="156">
        <v>44644</v>
      </c>
      <c r="F305" s="155">
        <v>29040</v>
      </c>
      <c r="G305" s="214" t="s">
        <v>1</v>
      </c>
      <c r="H305" s="47"/>
      <c r="I305" s="53">
        <v>0</v>
      </c>
      <c r="J305" s="49">
        <v>26.28</v>
      </c>
      <c r="K305" s="48" t="s">
        <v>268</v>
      </c>
      <c r="L305" s="6"/>
      <c r="M305" s="6"/>
      <c r="N305" s="6"/>
      <c r="O305" s="54">
        <v>33450</v>
      </c>
      <c r="P305" s="7" t="s">
        <v>251</v>
      </c>
      <c r="Q305" s="49">
        <v>26.28</v>
      </c>
      <c r="R305" s="49">
        <v>26.28</v>
      </c>
      <c r="S305" t="s">
        <v>433</v>
      </c>
      <c r="T305">
        <f t="shared" si="16"/>
        <v>763171.20000000007</v>
      </c>
      <c r="U305">
        <f t="shared" si="17"/>
        <v>4410</v>
      </c>
      <c r="V305">
        <f t="shared" si="18"/>
        <v>879066</v>
      </c>
      <c r="W305">
        <f t="shared" si="19"/>
        <v>115894.79999999993</v>
      </c>
    </row>
    <row r="306" spans="1:23" x14ac:dyDescent="0.25">
      <c r="A306" s="204">
        <v>7203454549</v>
      </c>
      <c r="B306" s="204">
        <v>7203175930</v>
      </c>
      <c r="C306" s="126" t="s">
        <v>252</v>
      </c>
      <c r="D306" s="5">
        <v>6234000600</v>
      </c>
      <c r="E306" s="156">
        <v>44644</v>
      </c>
      <c r="F306" s="155">
        <v>29040</v>
      </c>
      <c r="G306" s="214" t="s">
        <v>1</v>
      </c>
      <c r="H306" s="47"/>
      <c r="I306" s="53">
        <v>0</v>
      </c>
      <c r="J306" s="49">
        <v>26.22</v>
      </c>
      <c r="K306" s="48" t="s">
        <v>255</v>
      </c>
      <c r="L306" s="6"/>
      <c r="M306" s="6"/>
      <c r="N306" s="6"/>
      <c r="O306" s="54">
        <v>33450</v>
      </c>
      <c r="P306" s="7" t="s">
        <v>251</v>
      </c>
      <c r="Q306" s="49">
        <v>26.22</v>
      </c>
      <c r="R306" s="49">
        <v>26.22</v>
      </c>
      <c r="S306" t="s">
        <v>433</v>
      </c>
      <c r="T306">
        <f t="shared" si="16"/>
        <v>761428.79999999993</v>
      </c>
      <c r="U306">
        <f t="shared" si="17"/>
        <v>4410</v>
      </c>
      <c r="V306">
        <f t="shared" si="18"/>
        <v>877059</v>
      </c>
      <c r="W306">
        <f t="shared" si="19"/>
        <v>115630.20000000007</v>
      </c>
    </row>
    <row r="307" spans="1:23" x14ac:dyDescent="0.25">
      <c r="A307" s="204">
        <v>7203454549</v>
      </c>
      <c r="B307" s="204">
        <v>7203175930</v>
      </c>
      <c r="C307" s="126" t="s">
        <v>252</v>
      </c>
      <c r="D307" s="5">
        <v>6234000600</v>
      </c>
      <c r="E307" s="156">
        <v>44644</v>
      </c>
      <c r="F307" s="155">
        <v>29040</v>
      </c>
      <c r="G307" s="214" t="s">
        <v>1</v>
      </c>
      <c r="H307" s="47"/>
      <c r="I307" s="53">
        <v>0</v>
      </c>
      <c r="J307" s="49">
        <v>26.32</v>
      </c>
      <c r="K307" s="48" t="s">
        <v>113</v>
      </c>
      <c r="L307" s="6"/>
      <c r="M307" s="6"/>
      <c r="N307" s="6"/>
      <c r="O307" s="54">
        <v>33450</v>
      </c>
      <c r="P307" s="7" t="s">
        <v>251</v>
      </c>
      <c r="Q307" s="49">
        <v>26.32</v>
      </c>
      <c r="R307" s="49">
        <v>26.32</v>
      </c>
      <c r="S307" t="s">
        <v>433</v>
      </c>
      <c r="T307">
        <f t="shared" si="16"/>
        <v>764332.8</v>
      </c>
      <c r="U307">
        <f t="shared" si="17"/>
        <v>4410</v>
      </c>
      <c r="V307">
        <f t="shared" si="18"/>
        <v>880404</v>
      </c>
      <c r="W307">
        <f t="shared" si="19"/>
        <v>116071.19999999995</v>
      </c>
    </row>
    <row r="308" spans="1:23" x14ac:dyDescent="0.25">
      <c r="A308" s="204">
        <v>7203454549</v>
      </c>
      <c r="B308" s="204">
        <v>7203175930</v>
      </c>
      <c r="C308" s="126" t="s">
        <v>252</v>
      </c>
      <c r="D308" s="5">
        <v>6234000600</v>
      </c>
      <c r="E308" s="156">
        <v>44645</v>
      </c>
      <c r="F308" s="155">
        <v>29040</v>
      </c>
      <c r="G308" s="214" t="s">
        <v>1</v>
      </c>
      <c r="H308" s="47"/>
      <c r="I308" s="53">
        <v>0</v>
      </c>
      <c r="J308" s="50">
        <v>26.14</v>
      </c>
      <c r="K308" s="48"/>
      <c r="L308" s="6"/>
      <c r="M308" s="6"/>
      <c r="N308" s="6"/>
      <c r="O308" s="54">
        <v>33450</v>
      </c>
      <c r="P308" s="7" t="s">
        <v>251</v>
      </c>
      <c r="Q308" s="50">
        <v>26.14</v>
      </c>
      <c r="R308" s="50">
        <v>26.14</v>
      </c>
      <c r="S308" t="s">
        <v>433</v>
      </c>
      <c r="T308">
        <f t="shared" si="16"/>
        <v>759105.6</v>
      </c>
      <c r="U308">
        <f t="shared" si="17"/>
        <v>4410</v>
      </c>
      <c r="V308">
        <f t="shared" si="18"/>
        <v>874383</v>
      </c>
      <c r="W308">
        <f t="shared" si="19"/>
        <v>115277.40000000002</v>
      </c>
    </row>
    <row r="309" spans="1:23" x14ac:dyDescent="0.25">
      <c r="A309" s="204">
        <v>7203454549</v>
      </c>
      <c r="B309" s="204">
        <v>7203175930</v>
      </c>
      <c r="C309" s="126" t="s">
        <v>252</v>
      </c>
      <c r="D309" s="5">
        <v>6234000600</v>
      </c>
      <c r="E309" s="156">
        <v>44645</v>
      </c>
      <c r="F309" s="155">
        <v>29040</v>
      </c>
      <c r="G309" s="214" t="s">
        <v>1</v>
      </c>
      <c r="H309" s="47"/>
      <c r="I309" s="53">
        <v>0</v>
      </c>
      <c r="J309" s="50">
        <v>24.04</v>
      </c>
      <c r="K309" s="48"/>
      <c r="L309" s="6"/>
      <c r="M309" s="6"/>
      <c r="N309" s="6"/>
      <c r="O309" s="54">
        <v>33450</v>
      </c>
      <c r="P309" s="7" t="s">
        <v>251</v>
      </c>
      <c r="Q309" s="50">
        <v>24.04</v>
      </c>
      <c r="R309" s="50">
        <v>24.04</v>
      </c>
      <c r="S309" t="s">
        <v>433</v>
      </c>
      <c r="T309">
        <f t="shared" si="16"/>
        <v>698121.6</v>
      </c>
      <c r="U309">
        <f t="shared" si="17"/>
        <v>4410</v>
      </c>
      <c r="V309">
        <f t="shared" si="18"/>
        <v>804138</v>
      </c>
      <c r="W309">
        <f t="shared" si="19"/>
        <v>106016.40000000002</v>
      </c>
    </row>
    <row r="310" spans="1:23" x14ac:dyDescent="0.25">
      <c r="A310" s="204">
        <v>7203454549</v>
      </c>
      <c r="B310" s="204">
        <v>7203175930</v>
      </c>
      <c r="C310" s="126" t="s">
        <v>252</v>
      </c>
      <c r="D310" s="5">
        <v>6234000600</v>
      </c>
      <c r="E310" s="156">
        <v>44645</v>
      </c>
      <c r="F310" s="155">
        <v>29040</v>
      </c>
      <c r="G310" s="214" t="s">
        <v>1</v>
      </c>
      <c r="H310" s="47"/>
      <c r="I310" s="53">
        <v>0</v>
      </c>
      <c r="J310" s="50">
        <v>24.26</v>
      </c>
      <c r="K310" s="48"/>
      <c r="L310" s="6"/>
      <c r="M310" s="6"/>
      <c r="N310" s="6"/>
      <c r="O310" s="54">
        <v>33450</v>
      </c>
      <c r="P310" s="7" t="s">
        <v>251</v>
      </c>
      <c r="Q310" s="50">
        <v>24.26</v>
      </c>
      <c r="R310" s="50">
        <v>24.26</v>
      </c>
      <c r="S310" t="s">
        <v>433</v>
      </c>
      <c r="T310">
        <f t="shared" si="16"/>
        <v>704510.4</v>
      </c>
      <c r="U310">
        <f t="shared" si="17"/>
        <v>4410</v>
      </c>
      <c r="V310">
        <f t="shared" si="18"/>
        <v>811497</v>
      </c>
      <c r="W310">
        <f t="shared" si="19"/>
        <v>106986.59999999998</v>
      </c>
    </row>
    <row r="311" spans="1:23" x14ac:dyDescent="0.25">
      <c r="A311" s="204">
        <v>7203454549</v>
      </c>
      <c r="B311" s="204">
        <v>7203175930</v>
      </c>
      <c r="C311" s="126" t="s">
        <v>252</v>
      </c>
      <c r="D311" s="5">
        <v>6234000600</v>
      </c>
      <c r="E311" s="156">
        <v>44645</v>
      </c>
      <c r="F311" s="155">
        <v>29040</v>
      </c>
      <c r="G311" s="214" t="s">
        <v>1</v>
      </c>
      <c r="H311" s="47"/>
      <c r="I311" s="53">
        <v>0</v>
      </c>
      <c r="J311" s="50">
        <v>26.46</v>
      </c>
      <c r="K311" s="48"/>
      <c r="L311" s="6"/>
      <c r="M311" s="6"/>
      <c r="N311" s="6"/>
      <c r="O311" s="54">
        <v>33450</v>
      </c>
      <c r="P311" s="7" t="s">
        <v>251</v>
      </c>
      <c r="Q311" s="50">
        <v>26.46</v>
      </c>
      <c r="R311" s="50">
        <v>26.46</v>
      </c>
      <c r="S311" t="s">
        <v>433</v>
      </c>
      <c r="T311">
        <f t="shared" si="16"/>
        <v>768398.4</v>
      </c>
      <c r="U311">
        <f t="shared" si="17"/>
        <v>4410</v>
      </c>
      <c r="V311">
        <f t="shared" si="18"/>
        <v>885087</v>
      </c>
      <c r="W311">
        <f t="shared" si="19"/>
        <v>116688.59999999998</v>
      </c>
    </row>
    <row r="312" spans="1:23" x14ac:dyDescent="0.25">
      <c r="A312" s="204">
        <v>7203454549</v>
      </c>
      <c r="B312" s="204">
        <v>7203175930</v>
      </c>
      <c r="C312" s="126" t="s">
        <v>252</v>
      </c>
      <c r="D312" s="5">
        <v>6234000600</v>
      </c>
      <c r="E312" s="156">
        <v>44645</v>
      </c>
      <c r="F312" s="155">
        <v>29040</v>
      </c>
      <c r="G312" s="214" t="s">
        <v>1</v>
      </c>
      <c r="H312" s="47"/>
      <c r="I312" s="53">
        <v>0</v>
      </c>
      <c r="J312" s="50">
        <v>25.72</v>
      </c>
      <c r="K312" s="48"/>
      <c r="L312" s="6"/>
      <c r="M312" s="6"/>
      <c r="N312" s="6"/>
      <c r="O312" s="54">
        <v>33450</v>
      </c>
      <c r="P312" s="7" t="s">
        <v>251</v>
      </c>
      <c r="Q312" s="50">
        <v>25.72</v>
      </c>
      <c r="R312" s="50">
        <v>25.72</v>
      </c>
      <c r="S312" t="s">
        <v>433</v>
      </c>
      <c r="T312">
        <f t="shared" si="16"/>
        <v>746908.79999999993</v>
      </c>
      <c r="U312">
        <f t="shared" si="17"/>
        <v>4410</v>
      </c>
      <c r="V312">
        <f t="shared" si="18"/>
        <v>860334</v>
      </c>
      <c r="W312">
        <f t="shared" si="19"/>
        <v>113425.20000000007</v>
      </c>
    </row>
    <row r="313" spans="1:23" x14ac:dyDescent="0.25">
      <c r="A313" s="204">
        <v>7203454549</v>
      </c>
      <c r="B313" s="204">
        <v>7203175930</v>
      </c>
      <c r="C313" s="126" t="s">
        <v>252</v>
      </c>
      <c r="D313" s="5">
        <v>6234000600</v>
      </c>
      <c r="E313" s="156">
        <v>44645</v>
      </c>
      <c r="F313" s="155">
        <v>29040</v>
      </c>
      <c r="G313" s="214" t="s">
        <v>1</v>
      </c>
      <c r="H313" s="47"/>
      <c r="I313" s="53">
        <v>0</v>
      </c>
      <c r="J313" s="50">
        <v>25.74</v>
      </c>
      <c r="K313" s="48"/>
      <c r="L313" s="6"/>
      <c r="M313" s="6"/>
      <c r="N313" s="6"/>
      <c r="O313" s="54">
        <v>33450</v>
      </c>
      <c r="P313" s="7" t="s">
        <v>251</v>
      </c>
      <c r="Q313" s="50">
        <v>25.74</v>
      </c>
      <c r="R313" s="50">
        <v>25.74</v>
      </c>
      <c r="S313" t="s">
        <v>433</v>
      </c>
      <c r="T313">
        <f t="shared" si="16"/>
        <v>747489.6</v>
      </c>
      <c r="U313">
        <f t="shared" si="17"/>
        <v>4410</v>
      </c>
      <c r="V313">
        <f t="shared" si="18"/>
        <v>861003</v>
      </c>
      <c r="W313">
        <f t="shared" si="19"/>
        <v>113513.40000000002</v>
      </c>
    </row>
    <row r="314" spans="1:23" x14ac:dyDescent="0.25">
      <c r="A314" s="204">
        <v>7203454549</v>
      </c>
      <c r="B314" s="204">
        <v>7203175930</v>
      </c>
      <c r="C314" s="126" t="s">
        <v>252</v>
      </c>
      <c r="D314" s="5">
        <v>6234000600</v>
      </c>
      <c r="E314" s="156">
        <v>44647</v>
      </c>
      <c r="F314" s="155">
        <v>28710</v>
      </c>
      <c r="G314" s="214" t="s">
        <v>1</v>
      </c>
      <c r="H314" s="47"/>
      <c r="I314" s="53">
        <v>0</v>
      </c>
      <c r="J314" s="50">
        <v>26.06</v>
      </c>
      <c r="K314" s="48"/>
      <c r="L314" s="6"/>
      <c r="M314" s="6"/>
      <c r="N314" s="6"/>
      <c r="O314" s="54">
        <v>33450</v>
      </c>
      <c r="P314" s="7" t="s">
        <v>251</v>
      </c>
      <c r="Q314" s="50">
        <v>26.06</v>
      </c>
      <c r="R314" s="50">
        <v>26.06</v>
      </c>
      <c r="S314" t="s">
        <v>433</v>
      </c>
      <c r="T314">
        <f t="shared" si="16"/>
        <v>748182.6</v>
      </c>
      <c r="U314">
        <f t="shared" si="17"/>
        <v>4740</v>
      </c>
      <c r="V314">
        <f t="shared" si="18"/>
        <v>871707</v>
      </c>
      <c r="W314">
        <f t="shared" si="19"/>
        <v>123524.40000000002</v>
      </c>
    </row>
    <row r="315" spans="1:23" x14ac:dyDescent="0.25">
      <c r="A315" s="204">
        <v>7203454549</v>
      </c>
      <c r="B315" s="204">
        <v>7203175930</v>
      </c>
      <c r="C315" s="126" t="s">
        <v>252</v>
      </c>
      <c r="D315" s="5">
        <v>6234000600</v>
      </c>
      <c r="E315" s="156">
        <v>44647</v>
      </c>
      <c r="F315" s="155">
        <v>28710</v>
      </c>
      <c r="G315" s="214" t="s">
        <v>1</v>
      </c>
      <c r="H315" s="47"/>
      <c r="I315" s="53">
        <v>0</v>
      </c>
      <c r="J315" s="50">
        <v>26.08</v>
      </c>
      <c r="K315" s="48"/>
      <c r="L315" s="6"/>
      <c r="M315" s="6"/>
      <c r="N315" s="6"/>
      <c r="O315" s="54">
        <v>33450</v>
      </c>
      <c r="P315" s="7" t="s">
        <v>251</v>
      </c>
      <c r="Q315" s="50">
        <v>26.08</v>
      </c>
      <c r="R315" s="50">
        <v>26.08</v>
      </c>
      <c r="S315" t="s">
        <v>433</v>
      </c>
      <c r="T315">
        <f t="shared" si="16"/>
        <v>748756.79999999993</v>
      </c>
      <c r="U315">
        <f t="shared" si="17"/>
        <v>4740</v>
      </c>
      <c r="V315">
        <f t="shared" si="18"/>
        <v>872376</v>
      </c>
      <c r="W315">
        <f t="shared" si="19"/>
        <v>123619.20000000007</v>
      </c>
    </row>
    <row r="316" spans="1:23" x14ac:dyDescent="0.25">
      <c r="A316" s="204">
        <v>7203454549</v>
      </c>
      <c r="B316" s="204">
        <v>7203175930</v>
      </c>
      <c r="C316" s="126" t="s">
        <v>252</v>
      </c>
      <c r="D316" s="5">
        <v>6234000600</v>
      </c>
      <c r="E316" s="156">
        <v>44648</v>
      </c>
      <c r="F316" s="155">
        <v>28710</v>
      </c>
      <c r="G316" s="214" t="s">
        <v>1</v>
      </c>
      <c r="H316" s="47"/>
      <c r="I316" s="53">
        <v>0</v>
      </c>
      <c r="J316" s="49">
        <v>25.9</v>
      </c>
      <c r="K316" s="48" t="s">
        <v>257</v>
      </c>
      <c r="L316" s="6"/>
      <c r="M316" s="6"/>
      <c r="N316" s="6"/>
      <c r="O316" s="54">
        <v>33450</v>
      </c>
      <c r="P316" s="7" t="s">
        <v>251</v>
      </c>
      <c r="Q316" s="49">
        <v>25.9</v>
      </c>
      <c r="R316" s="49">
        <v>25.9</v>
      </c>
      <c r="S316" t="s">
        <v>433</v>
      </c>
      <c r="T316">
        <f t="shared" si="16"/>
        <v>743589</v>
      </c>
      <c r="U316">
        <f t="shared" si="17"/>
        <v>4740</v>
      </c>
      <c r="V316">
        <f t="shared" si="18"/>
        <v>866355</v>
      </c>
      <c r="W316">
        <f t="shared" si="19"/>
        <v>122766</v>
      </c>
    </row>
    <row r="317" spans="1:23" x14ac:dyDescent="0.25">
      <c r="A317" s="204">
        <v>7203454549</v>
      </c>
      <c r="B317" s="204">
        <v>7203175930</v>
      </c>
      <c r="C317" s="126" t="s">
        <v>252</v>
      </c>
      <c r="D317" s="5">
        <v>6234000600</v>
      </c>
      <c r="E317" s="156">
        <v>44648</v>
      </c>
      <c r="F317" s="155">
        <v>28710</v>
      </c>
      <c r="G317" s="214" t="s">
        <v>1</v>
      </c>
      <c r="H317" s="47"/>
      <c r="I317" s="53">
        <v>0</v>
      </c>
      <c r="J317" s="49">
        <v>26.24</v>
      </c>
      <c r="K317" s="48" t="s">
        <v>253</v>
      </c>
      <c r="L317" s="6"/>
      <c r="M317" s="6"/>
      <c r="N317" s="6"/>
      <c r="O317" s="54">
        <v>33450</v>
      </c>
      <c r="P317" s="7" t="s">
        <v>251</v>
      </c>
      <c r="Q317" s="49">
        <v>26.24</v>
      </c>
      <c r="R317" s="49">
        <v>26.24</v>
      </c>
      <c r="S317" t="s">
        <v>433</v>
      </c>
      <c r="T317">
        <f t="shared" si="16"/>
        <v>753350.39999999991</v>
      </c>
      <c r="U317">
        <f t="shared" si="17"/>
        <v>4740</v>
      </c>
      <c r="V317">
        <f t="shared" si="18"/>
        <v>877728</v>
      </c>
      <c r="W317">
        <f t="shared" si="19"/>
        <v>124377.60000000009</v>
      </c>
    </row>
    <row r="318" spans="1:23" x14ac:dyDescent="0.25">
      <c r="A318" s="204">
        <v>7203454549</v>
      </c>
      <c r="B318" s="204">
        <v>7203175930</v>
      </c>
      <c r="C318" s="126" t="s">
        <v>252</v>
      </c>
      <c r="D318" s="5">
        <v>6234000600</v>
      </c>
      <c r="E318" s="156">
        <v>44648</v>
      </c>
      <c r="F318" s="155">
        <v>28710</v>
      </c>
      <c r="G318" s="214" t="s">
        <v>1</v>
      </c>
      <c r="H318" s="47"/>
      <c r="I318" s="53">
        <v>0</v>
      </c>
      <c r="J318" s="49">
        <v>26.3</v>
      </c>
      <c r="K318" s="48" t="s">
        <v>217</v>
      </c>
      <c r="L318" s="6"/>
      <c r="M318" s="6"/>
      <c r="N318" s="6"/>
      <c r="O318" s="54">
        <v>33450</v>
      </c>
      <c r="P318" s="7" t="s">
        <v>251</v>
      </c>
      <c r="Q318" s="49">
        <v>26.3</v>
      </c>
      <c r="R318" s="49">
        <v>26.3</v>
      </c>
      <c r="S318" t="s">
        <v>433</v>
      </c>
      <c r="T318">
        <f t="shared" si="16"/>
        <v>755073</v>
      </c>
      <c r="U318">
        <f t="shared" si="17"/>
        <v>4740</v>
      </c>
      <c r="V318">
        <f t="shared" si="18"/>
        <v>879735</v>
      </c>
      <c r="W318">
        <f t="shared" si="19"/>
        <v>124662</v>
      </c>
    </row>
    <row r="319" spans="1:23" x14ac:dyDescent="0.25">
      <c r="A319" s="204">
        <v>7203454549</v>
      </c>
      <c r="B319" s="204">
        <v>7203175930</v>
      </c>
      <c r="C319" s="126" t="s">
        <v>252</v>
      </c>
      <c r="D319" s="5">
        <v>6234000600</v>
      </c>
      <c r="E319" s="156">
        <v>44648</v>
      </c>
      <c r="F319" s="155">
        <v>28710</v>
      </c>
      <c r="G319" s="214" t="s">
        <v>1</v>
      </c>
      <c r="H319" s="47"/>
      <c r="I319" s="53">
        <v>0</v>
      </c>
      <c r="J319" s="50">
        <v>24.04</v>
      </c>
      <c r="K319" s="48"/>
      <c r="L319" s="6"/>
      <c r="M319" s="6"/>
      <c r="N319" s="6"/>
      <c r="O319" s="54">
        <v>33450</v>
      </c>
      <c r="P319" s="7" t="s">
        <v>251</v>
      </c>
      <c r="Q319" s="50">
        <v>24.04</v>
      </c>
      <c r="R319" s="50">
        <v>24.04</v>
      </c>
      <c r="S319" t="s">
        <v>433</v>
      </c>
      <c r="T319">
        <f t="shared" si="16"/>
        <v>690188.4</v>
      </c>
      <c r="U319">
        <f t="shared" si="17"/>
        <v>4740</v>
      </c>
      <c r="V319">
        <f t="shared" si="18"/>
        <v>804138</v>
      </c>
      <c r="W319">
        <f t="shared" si="19"/>
        <v>113949.59999999998</v>
      </c>
    </row>
    <row r="320" spans="1:23" x14ac:dyDescent="0.25">
      <c r="A320" s="204">
        <v>7203454549</v>
      </c>
      <c r="B320" s="204">
        <v>7203175930</v>
      </c>
      <c r="C320" s="126" t="s">
        <v>252</v>
      </c>
      <c r="D320" s="5">
        <v>6234000600</v>
      </c>
      <c r="E320" s="156">
        <v>44648</v>
      </c>
      <c r="F320" s="155">
        <v>29040</v>
      </c>
      <c r="G320" s="214" t="s">
        <v>1</v>
      </c>
      <c r="H320" s="47"/>
      <c r="I320" s="53">
        <v>0</v>
      </c>
      <c r="J320" s="50">
        <v>26.16</v>
      </c>
      <c r="K320" s="48"/>
      <c r="L320" s="6"/>
      <c r="M320" s="6"/>
      <c r="N320" s="6"/>
      <c r="O320" s="54">
        <v>33450</v>
      </c>
      <c r="P320" s="7" t="s">
        <v>251</v>
      </c>
      <c r="Q320" s="50">
        <v>26.16</v>
      </c>
      <c r="R320" s="50">
        <v>26.16</v>
      </c>
      <c r="S320" t="s">
        <v>433</v>
      </c>
      <c r="T320">
        <f t="shared" si="16"/>
        <v>759686.4</v>
      </c>
      <c r="U320">
        <f t="shared" si="17"/>
        <v>4410</v>
      </c>
      <c r="V320">
        <f t="shared" si="18"/>
        <v>875052</v>
      </c>
      <c r="W320">
        <f t="shared" si="19"/>
        <v>115365.59999999998</v>
      </c>
    </row>
    <row r="321" spans="1:23" x14ac:dyDescent="0.25">
      <c r="A321" s="204">
        <v>7203454549</v>
      </c>
      <c r="B321" s="204">
        <v>7203175930</v>
      </c>
      <c r="C321" s="126" t="s">
        <v>252</v>
      </c>
      <c r="D321" s="5">
        <v>6234000600</v>
      </c>
      <c r="E321" s="156">
        <v>44648</v>
      </c>
      <c r="F321" s="155">
        <v>29040</v>
      </c>
      <c r="G321" s="214" t="s">
        <v>1</v>
      </c>
      <c r="H321" s="47"/>
      <c r="I321" s="53">
        <v>0</v>
      </c>
      <c r="J321" s="50">
        <v>26.2</v>
      </c>
      <c r="K321" s="48"/>
      <c r="L321" s="6"/>
      <c r="M321" s="6"/>
      <c r="N321" s="6"/>
      <c r="O321" s="54">
        <v>33450</v>
      </c>
      <c r="P321" s="7" t="s">
        <v>251</v>
      </c>
      <c r="Q321" s="50">
        <v>26.2</v>
      </c>
      <c r="R321" s="50">
        <v>26.2</v>
      </c>
      <c r="S321" t="s">
        <v>433</v>
      </c>
      <c r="T321">
        <f t="shared" si="16"/>
        <v>760848</v>
      </c>
      <c r="U321">
        <f t="shared" si="17"/>
        <v>4410</v>
      </c>
      <c r="V321">
        <f t="shared" si="18"/>
        <v>876390</v>
      </c>
      <c r="W321">
        <f t="shared" si="19"/>
        <v>115542</v>
      </c>
    </row>
    <row r="322" spans="1:23" x14ac:dyDescent="0.25">
      <c r="A322" s="204">
        <v>7203454549</v>
      </c>
      <c r="B322" s="204">
        <v>7203175930</v>
      </c>
      <c r="C322" s="126" t="s">
        <v>252</v>
      </c>
      <c r="D322" s="5">
        <v>6234000600</v>
      </c>
      <c r="E322" s="156">
        <v>44648</v>
      </c>
      <c r="F322" s="155">
        <v>29040</v>
      </c>
      <c r="G322" s="214" t="s">
        <v>1</v>
      </c>
      <c r="H322" s="47"/>
      <c r="I322" s="53">
        <v>0</v>
      </c>
      <c r="J322" s="50">
        <v>26.2</v>
      </c>
      <c r="K322" s="48"/>
      <c r="L322" s="6"/>
      <c r="M322" s="6"/>
      <c r="N322" s="6"/>
      <c r="O322" s="54">
        <v>33450</v>
      </c>
      <c r="P322" s="7" t="s">
        <v>251</v>
      </c>
      <c r="Q322" s="50">
        <v>26.2</v>
      </c>
      <c r="R322" s="50">
        <v>26.2</v>
      </c>
      <c r="S322" t="s">
        <v>433</v>
      </c>
      <c r="T322">
        <f t="shared" si="16"/>
        <v>760848</v>
      </c>
      <c r="U322">
        <f t="shared" si="17"/>
        <v>4410</v>
      </c>
      <c r="V322">
        <f t="shared" si="18"/>
        <v>876390</v>
      </c>
      <c r="W322">
        <f t="shared" si="19"/>
        <v>115542</v>
      </c>
    </row>
    <row r="323" spans="1:23" x14ac:dyDescent="0.25">
      <c r="A323" s="204">
        <v>7203454549</v>
      </c>
      <c r="B323" s="204">
        <v>7203175930</v>
      </c>
      <c r="C323" s="126" t="s">
        <v>252</v>
      </c>
      <c r="D323" s="5">
        <v>6234000600</v>
      </c>
      <c r="E323" s="156">
        <v>44648</v>
      </c>
      <c r="F323" s="155">
        <v>29040</v>
      </c>
      <c r="G323" s="214" t="s">
        <v>1</v>
      </c>
      <c r="H323" s="47"/>
      <c r="I323" s="53">
        <v>0</v>
      </c>
      <c r="J323" s="50">
        <v>25.5</v>
      </c>
      <c r="K323" s="48"/>
      <c r="L323" s="6"/>
      <c r="M323" s="6"/>
      <c r="N323" s="6"/>
      <c r="O323" s="54">
        <v>33450</v>
      </c>
      <c r="P323" s="7" t="s">
        <v>251</v>
      </c>
      <c r="Q323" s="50">
        <v>25.5</v>
      </c>
      <c r="R323" s="50">
        <v>25.5</v>
      </c>
      <c r="S323" t="s">
        <v>433</v>
      </c>
      <c r="T323">
        <f t="shared" ref="T323:T386" si="20">(I323+F323)*J323</f>
        <v>740520</v>
      </c>
      <c r="U323">
        <f t="shared" ref="U323:U386" si="21">O323-(F323+I323)</f>
        <v>4410</v>
      </c>
      <c r="V323">
        <f t="shared" ref="V323:V386" si="22">O323*J323</f>
        <v>852975</v>
      </c>
      <c r="W323">
        <f t="shared" ref="W323:W386" si="23">V323-T323</f>
        <v>112455</v>
      </c>
    </row>
    <row r="324" spans="1:23" x14ac:dyDescent="0.25">
      <c r="A324" s="204">
        <v>7203454549</v>
      </c>
      <c r="B324" s="204">
        <v>7203175930</v>
      </c>
      <c r="C324" s="126" t="s">
        <v>252</v>
      </c>
      <c r="D324" s="5">
        <v>6234000600</v>
      </c>
      <c r="E324" s="156">
        <v>44648</v>
      </c>
      <c r="F324" s="155">
        <v>29040</v>
      </c>
      <c r="G324" s="214" t="s">
        <v>1</v>
      </c>
      <c r="H324" s="47"/>
      <c r="I324" s="53">
        <v>0</v>
      </c>
      <c r="J324" s="50">
        <v>26.32</v>
      </c>
      <c r="K324" s="48"/>
      <c r="L324" s="6"/>
      <c r="M324" s="6"/>
      <c r="N324" s="6"/>
      <c r="O324" s="54">
        <v>33450</v>
      </c>
      <c r="P324" s="7" t="s">
        <v>251</v>
      </c>
      <c r="Q324" s="50">
        <v>26.32</v>
      </c>
      <c r="R324" s="50">
        <v>26.32</v>
      </c>
      <c r="S324" t="s">
        <v>433</v>
      </c>
      <c r="T324">
        <f t="shared" si="20"/>
        <v>764332.8</v>
      </c>
      <c r="U324">
        <f t="shared" si="21"/>
        <v>4410</v>
      </c>
      <c r="V324">
        <f t="shared" si="22"/>
        <v>880404</v>
      </c>
      <c r="W324">
        <f t="shared" si="23"/>
        <v>116071.19999999995</v>
      </c>
    </row>
    <row r="325" spans="1:23" x14ac:dyDescent="0.25">
      <c r="A325" s="204">
        <v>7203454549</v>
      </c>
      <c r="B325" s="204">
        <v>7203175930</v>
      </c>
      <c r="C325" s="126" t="s">
        <v>252</v>
      </c>
      <c r="D325" s="5">
        <v>6234000600</v>
      </c>
      <c r="E325" s="156">
        <v>44648</v>
      </c>
      <c r="F325" s="155">
        <v>29040</v>
      </c>
      <c r="G325" s="214" t="s">
        <v>1</v>
      </c>
      <c r="H325" s="47"/>
      <c r="I325" s="53">
        <v>0</v>
      </c>
      <c r="J325" s="50">
        <v>26.32</v>
      </c>
      <c r="K325" s="48"/>
      <c r="L325" s="6"/>
      <c r="M325" s="6"/>
      <c r="N325" s="6"/>
      <c r="O325" s="54">
        <v>33450</v>
      </c>
      <c r="P325" s="7" t="s">
        <v>251</v>
      </c>
      <c r="Q325" s="50">
        <v>26.32</v>
      </c>
      <c r="R325" s="50">
        <v>26.32</v>
      </c>
      <c r="S325" t="s">
        <v>433</v>
      </c>
      <c r="T325">
        <f t="shared" si="20"/>
        <v>764332.8</v>
      </c>
      <c r="U325">
        <f t="shared" si="21"/>
        <v>4410</v>
      </c>
      <c r="V325">
        <f t="shared" si="22"/>
        <v>880404</v>
      </c>
      <c r="W325">
        <f t="shared" si="23"/>
        <v>116071.19999999995</v>
      </c>
    </row>
    <row r="326" spans="1:23" x14ac:dyDescent="0.25">
      <c r="A326" s="204">
        <v>7203454549</v>
      </c>
      <c r="B326" s="204">
        <v>7203175930</v>
      </c>
      <c r="C326" s="126" t="s">
        <v>252</v>
      </c>
      <c r="D326" s="5">
        <v>6234000600</v>
      </c>
      <c r="E326" s="156">
        <v>44649</v>
      </c>
      <c r="F326" s="155">
        <v>29040</v>
      </c>
      <c r="G326" s="214" t="s">
        <v>1</v>
      </c>
      <c r="H326" s="47"/>
      <c r="I326" s="53">
        <v>0</v>
      </c>
      <c r="J326" s="51">
        <v>26.42</v>
      </c>
      <c r="K326" s="48"/>
      <c r="L326" s="6"/>
      <c r="M326" s="6"/>
      <c r="N326" s="6"/>
      <c r="O326" s="54">
        <v>33450</v>
      </c>
      <c r="P326" s="7" t="s">
        <v>251</v>
      </c>
      <c r="Q326" s="51">
        <v>26.42</v>
      </c>
      <c r="R326" s="51">
        <v>26.42</v>
      </c>
      <c r="S326" t="s">
        <v>433</v>
      </c>
      <c r="T326">
        <f t="shared" si="20"/>
        <v>767236.8</v>
      </c>
      <c r="U326">
        <f t="shared" si="21"/>
        <v>4410</v>
      </c>
      <c r="V326">
        <f t="shared" si="22"/>
        <v>883749</v>
      </c>
      <c r="W326">
        <f t="shared" si="23"/>
        <v>116512.19999999995</v>
      </c>
    </row>
    <row r="327" spans="1:23" x14ac:dyDescent="0.25">
      <c r="A327" s="204">
        <v>7203454549</v>
      </c>
      <c r="B327" s="204">
        <v>7203175930</v>
      </c>
      <c r="C327" s="126" t="s">
        <v>252</v>
      </c>
      <c r="D327" s="5">
        <v>6234000600</v>
      </c>
      <c r="E327" s="156">
        <v>44649</v>
      </c>
      <c r="F327" s="155">
        <v>29040</v>
      </c>
      <c r="G327" s="214" t="s">
        <v>1</v>
      </c>
      <c r="H327" s="47"/>
      <c r="I327" s="53">
        <v>0</v>
      </c>
      <c r="J327" s="51">
        <v>26.14</v>
      </c>
      <c r="K327" s="48"/>
      <c r="L327" s="6"/>
      <c r="M327" s="6"/>
      <c r="N327" s="6"/>
      <c r="O327" s="54">
        <v>33450</v>
      </c>
      <c r="P327" s="7" t="s">
        <v>251</v>
      </c>
      <c r="Q327" s="51">
        <v>26.14</v>
      </c>
      <c r="R327" s="51">
        <v>26.14</v>
      </c>
      <c r="S327" t="s">
        <v>433</v>
      </c>
      <c r="T327">
        <f t="shared" si="20"/>
        <v>759105.6</v>
      </c>
      <c r="U327">
        <f t="shared" si="21"/>
        <v>4410</v>
      </c>
      <c r="V327">
        <f t="shared" si="22"/>
        <v>874383</v>
      </c>
      <c r="W327">
        <f t="shared" si="23"/>
        <v>115277.40000000002</v>
      </c>
    </row>
    <row r="328" spans="1:23" x14ac:dyDescent="0.25">
      <c r="A328" s="204">
        <v>7203454549</v>
      </c>
      <c r="B328" s="204">
        <v>7203175930</v>
      </c>
      <c r="C328" s="126" t="s">
        <v>252</v>
      </c>
      <c r="D328" s="5">
        <v>6234000600</v>
      </c>
      <c r="E328" s="156">
        <v>44649</v>
      </c>
      <c r="F328" s="155">
        <v>29040</v>
      </c>
      <c r="G328" s="214" t="s">
        <v>1</v>
      </c>
      <c r="H328" s="47"/>
      <c r="I328" s="53">
        <v>0</v>
      </c>
      <c r="J328" s="51">
        <v>26.06</v>
      </c>
      <c r="K328" s="48"/>
      <c r="L328" s="6"/>
      <c r="M328" s="6"/>
      <c r="N328" s="6"/>
      <c r="O328" s="54">
        <v>33450</v>
      </c>
      <c r="P328" s="7" t="s">
        <v>251</v>
      </c>
      <c r="Q328" s="51">
        <v>26.06</v>
      </c>
      <c r="R328" s="51">
        <v>26.06</v>
      </c>
      <c r="S328" t="s">
        <v>433</v>
      </c>
      <c r="T328">
        <f t="shared" si="20"/>
        <v>756782.39999999991</v>
      </c>
      <c r="U328">
        <f t="shared" si="21"/>
        <v>4410</v>
      </c>
      <c r="V328">
        <f t="shared" si="22"/>
        <v>871707</v>
      </c>
      <c r="W328">
        <f t="shared" si="23"/>
        <v>114924.60000000009</v>
      </c>
    </row>
    <row r="329" spans="1:23" x14ac:dyDescent="0.25">
      <c r="A329" s="204">
        <v>7203454549</v>
      </c>
      <c r="B329" s="204">
        <v>7203175930</v>
      </c>
      <c r="C329" s="126" t="s">
        <v>252</v>
      </c>
      <c r="D329" s="5">
        <v>6234000600</v>
      </c>
      <c r="E329" s="156">
        <v>44649</v>
      </c>
      <c r="F329" s="155">
        <v>29040</v>
      </c>
      <c r="G329" s="214" t="s">
        <v>1</v>
      </c>
      <c r="H329" s="47"/>
      <c r="I329" s="53">
        <v>0</v>
      </c>
      <c r="J329" s="51">
        <v>25.42</v>
      </c>
      <c r="K329" s="48"/>
      <c r="L329" s="6"/>
      <c r="M329" s="6"/>
      <c r="N329" s="6"/>
      <c r="O329" s="54">
        <v>33450</v>
      </c>
      <c r="P329" s="7" t="s">
        <v>251</v>
      </c>
      <c r="Q329" s="51">
        <v>25.42</v>
      </c>
      <c r="R329" s="51">
        <v>25.42</v>
      </c>
      <c r="S329" t="s">
        <v>433</v>
      </c>
      <c r="T329">
        <f t="shared" si="20"/>
        <v>738196.8</v>
      </c>
      <c r="U329">
        <f t="shared" si="21"/>
        <v>4410</v>
      </c>
      <c r="V329">
        <f t="shared" si="22"/>
        <v>850299</v>
      </c>
      <c r="W329">
        <f t="shared" si="23"/>
        <v>112102.19999999995</v>
      </c>
    </row>
    <row r="330" spans="1:23" x14ac:dyDescent="0.25">
      <c r="A330" s="204">
        <v>7203454549</v>
      </c>
      <c r="B330" s="204">
        <v>7203175930</v>
      </c>
      <c r="C330" s="126" t="s">
        <v>252</v>
      </c>
      <c r="D330" s="5">
        <v>6234000600</v>
      </c>
      <c r="E330" s="156">
        <v>44650</v>
      </c>
      <c r="F330" s="155">
        <v>29040</v>
      </c>
      <c r="G330" s="214" t="s">
        <v>1</v>
      </c>
      <c r="H330" s="47"/>
      <c r="I330" s="53">
        <v>0</v>
      </c>
      <c r="J330" s="52">
        <v>25.68</v>
      </c>
      <c r="K330" s="48"/>
      <c r="L330" s="6"/>
      <c r="M330" s="6"/>
      <c r="N330" s="6"/>
      <c r="O330" s="54">
        <v>33450</v>
      </c>
      <c r="P330" s="7" t="s">
        <v>251</v>
      </c>
      <c r="Q330" s="52">
        <v>25.68</v>
      </c>
      <c r="R330" s="52">
        <v>25.68</v>
      </c>
      <c r="S330" t="s">
        <v>433</v>
      </c>
      <c r="T330">
        <f t="shared" si="20"/>
        <v>745747.2</v>
      </c>
      <c r="U330">
        <f t="shared" si="21"/>
        <v>4410</v>
      </c>
      <c r="V330">
        <f t="shared" si="22"/>
        <v>858996</v>
      </c>
      <c r="W330">
        <f t="shared" si="23"/>
        <v>113248.80000000005</v>
      </c>
    </row>
    <row r="331" spans="1:23" x14ac:dyDescent="0.25">
      <c r="A331" s="204">
        <v>7203454549</v>
      </c>
      <c r="B331" s="204">
        <v>7203175930</v>
      </c>
      <c r="C331" s="126" t="s">
        <v>270</v>
      </c>
      <c r="D331" s="5">
        <v>6234000600</v>
      </c>
      <c r="E331" s="156">
        <v>44644</v>
      </c>
      <c r="F331" s="155">
        <v>28710</v>
      </c>
      <c r="G331" s="214" t="s">
        <v>1</v>
      </c>
      <c r="H331" s="6"/>
      <c r="I331" s="55">
        <v>0</v>
      </c>
      <c r="J331" s="56">
        <v>25.9</v>
      </c>
      <c r="K331" s="3" t="s">
        <v>271</v>
      </c>
      <c r="L331" s="6"/>
      <c r="M331" s="6"/>
      <c r="N331" s="6"/>
      <c r="O331" s="62">
        <v>33350</v>
      </c>
      <c r="P331" s="7" t="s">
        <v>269</v>
      </c>
      <c r="Q331" s="56">
        <v>25.9</v>
      </c>
      <c r="R331" s="56">
        <v>25.9</v>
      </c>
      <c r="S331" t="s">
        <v>433</v>
      </c>
      <c r="T331">
        <f t="shared" si="20"/>
        <v>743589</v>
      </c>
      <c r="U331">
        <f t="shared" si="21"/>
        <v>4640</v>
      </c>
      <c r="V331">
        <f t="shared" si="22"/>
        <v>863765</v>
      </c>
      <c r="W331">
        <f t="shared" si="23"/>
        <v>120176</v>
      </c>
    </row>
    <row r="332" spans="1:23" x14ac:dyDescent="0.25">
      <c r="A332" s="204">
        <v>7203454549</v>
      </c>
      <c r="B332" s="204">
        <v>7203175930</v>
      </c>
      <c r="C332" s="126" t="s">
        <v>270</v>
      </c>
      <c r="D332" s="5">
        <v>6234000600</v>
      </c>
      <c r="E332" s="156">
        <v>44644</v>
      </c>
      <c r="F332" s="155">
        <v>28710</v>
      </c>
      <c r="G332" s="214" t="s">
        <v>1</v>
      </c>
      <c r="H332" s="6"/>
      <c r="I332" s="55">
        <v>0</v>
      </c>
      <c r="J332" s="56">
        <v>25.34</v>
      </c>
      <c r="K332" s="3" t="s">
        <v>272</v>
      </c>
      <c r="L332" s="6"/>
      <c r="M332" s="6"/>
      <c r="N332" s="6"/>
      <c r="O332" s="62">
        <v>33350</v>
      </c>
      <c r="P332" s="7" t="s">
        <v>269</v>
      </c>
      <c r="Q332" s="56">
        <v>25.34</v>
      </c>
      <c r="R332" s="56">
        <v>25.34</v>
      </c>
      <c r="S332" t="s">
        <v>433</v>
      </c>
      <c r="T332">
        <f t="shared" si="20"/>
        <v>727511.4</v>
      </c>
      <c r="U332">
        <f t="shared" si="21"/>
        <v>4640</v>
      </c>
      <c r="V332">
        <f t="shared" si="22"/>
        <v>845089</v>
      </c>
      <c r="W332">
        <f t="shared" si="23"/>
        <v>117577.59999999998</v>
      </c>
    </row>
    <row r="333" spans="1:23" x14ac:dyDescent="0.25">
      <c r="A333" s="204">
        <v>7203454549</v>
      </c>
      <c r="B333" s="204">
        <v>7203175930</v>
      </c>
      <c r="C333" s="126" t="s">
        <v>270</v>
      </c>
      <c r="D333" s="5">
        <v>6234000600</v>
      </c>
      <c r="E333" s="156">
        <v>44644</v>
      </c>
      <c r="F333" s="155">
        <v>28710</v>
      </c>
      <c r="G333" s="214" t="s">
        <v>1</v>
      </c>
      <c r="H333" s="6"/>
      <c r="I333" s="55">
        <v>0</v>
      </c>
      <c r="J333" s="56">
        <v>25.92</v>
      </c>
      <c r="K333" s="3" t="s">
        <v>273</v>
      </c>
      <c r="L333" s="6"/>
      <c r="M333" s="6"/>
      <c r="N333" s="6"/>
      <c r="O333" s="62">
        <v>33350</v>
      </c>
      <c r="P333" s="7" t="s">
        <v>269</v>
      </c>
      <c r="Q333" s="56">
        <v>25.92</v>
      </c>
      <c r="R333" s="56">
        <v>25.92</v>
      </c>
      <c r="S333" t="s">
        <v>433</v>
      </c>
      <c r="T333">
        <f t="shared" si="20"/>
        <v>744163.20000000007</v>
      </c>
      <c r="U333">
        <f t="shared" si="21"/>
        <v>4640</v>
      </c>
      <c r="V333">
        <f t="shared" si="22"/>
        <v>864432</v>
      </c>
      <c r="W333">
        <f t="shared" si="23"/>
        <v>120268.79999999993</v>
      </c>
    </row>
    <row r="334" spans="1:23" x14ac:dyDescent="0.25">
      <c r="A334" s="204">
        <v>7203454549</v>
      </c>
      <c r="B334" s="204">
        <v>7203175930</v>
      </c>
      <c r="C334" s="126" t="s">
        <v>270</v>
      </c>
      <c r="D334" s="5">
        <v>6234000600</v>
      </c>
      <c r="E334" s="156">
        <v>44644</v>
      </c>
      <c r="F334" s="155">
        <v>28710</v>
      </c>
      <c r="G334" s="214" t="s">
        <v>1</v>
      </c>
      <c r="H334" s="6"/>
      <c r="I334" s="55">
        <v>0</v>
      </c>
      <c r="J334" s="56">
        <v>26.58</v>
      </c>
      <c r="K334" s="3" t="s">
        <v>274</v>
      </c>
      <c r="L334" s="6"/>
      <c r="M334" s="6"/>
      <c r="N334" s="6"/>
      <c r="O334" s="62">
        <v>33350</v>
      </c>
      <c r="P334" s="7" t="s">
        <v>269</v>
      </c>
      <c r="Q334" s="56">
        <v>26.58</v>
      </c>
      <c r="R334" s="56">
        <v>26.58</v>
      </c>
      <c r="S334" t="s">
        <v>433</v>
      </c>
      <c r="T334">
        <f t="shared" si="20"/>
        <v>763111.79999999993</v>
      </c>
      <c r="U334">
        <f t="shared" si="21"/>
        <v>4640</v>
      </c>
      <c r="V334">
        <f t="shared" si="22"/>
        <v>886443</v>
      </c>
      <c r="W334">
        <f t="shared" si="23"/>
        <v>123331.20000000007</v>
      </c>
    </row>
    <row r="335" spans="1:23" x14ac:dyDescent="0.25">
      <c r="A335" s="204">
        <v>7203454549</v>
      </c>
      <c r="B335" s="204">
        <v>7203175930</v>
      </c>
      <c r="C335" s="126" t="s">
        <v>270</v>
      </c>
      <c r="D335" s="5">
        <v>6234000600</v>
      </c>
      <c r="E335" s="156">
        <v>44644</v>
      </c>
      <c r="F335" s="155">
        <v>28710</v>
      </c>
      <c r="G335" s="214" t="s">
        <v>1</v>
      </c>
      <c r="H335" s="6"/>
      <c r="I335" s="55">
        <v>0</v>
      </c>
      <c r="J335" s="56">
        <v>26.74</v>
      </c>
      <c r="K335" s="3" t="s">
        <v>275</v>
      </c>
      <c r="L335" s="6"/>
      <c r="M335" s="6"/>
      <c r="N335" s="6"/>
      <c r="O335" s="62">
        <v>33350</v>
      </c>
      <c r="P335" s="7" t="s">
        <v>269</v>
      </c>
      <c r="Q335" s="56">
        <v>26.74</v>
      </c>
      <c r="R335" s="56">
        <v>26.74</v>
      </c>
      <c r="S335" t="s">
        <v>433</v>
      </c>
      <c r="T335">
        <f t="shared" si="20"/>
        <v>767705.39999999991</v>
      </c>
      <c r="U335">
        <f t="shared" si="21"/>
        <v>4640</v>
      </c>
      <c r="V335">
        <f t="shared" si="22"/>
        <v>891779</v>
      </c>
      <c r="W335">
        <f t="shared" si="23"/>
        <v>124073.60000000009</v>
      </c>
    </row>
    <row r="336" spans="1:23" x14ac:dyDescent="0.25">
      <c r="A336" s="204">
        <v>7203454549</v>
      </c>
      <c r="B336" s="204">
        <v>7203175930</v>
      </c>
      <c r="C336" s="126" t="s">
        <v>270</v>
      </c>
      <c r="D336" s="5">
        <v>6234000600</v>
      </c>
      <c r="E336" s="156">
        <v>44645</v>
      </c>
      <c r="F336" s="155">
        <v>28710</v>
      </c>
      <c r="G336" s="214" t="s">
        <v>1</v>
      </c>
      <c r="H336" s="6"/>
      <c r="I336" s="55">
        <v>0</v>
      </c>
      <c r="J336" s="57">
        <v>26.22</v>
      </c>
      <c r="K336" s="3"/>
      <c r="L336" s="6"/>
      <c r="M336" s="6"/>
      <c r="N336" s="6"/>
      <c r="O336" s="62">
        <v>33350</v>
      </c>
      <c r="P336" s="7" t="s">
        <v>269</v>
      </c>
      <c r="Q336" s="57">
        <v>26.22</v>
      </c>
      <c r="R336" s="57">
        <v>26.22</v>
      </c>
      <c r="S336" t="s">
        <v>433</v>
      </c>
      <c r="T336">
        <f t="shared" si="20"/>
        <v>752776.2</v>
      </c>
      <c r="U336">
        <f t="shared" si="21"/>
        <v>4640</v>
      </c>
      <c r="V336">
        <f t="shared" si="22"/>
        <v>874437</v>
      </c>
      <c r="W336">
        <f t="shared" si="23"/>
        <v>121660.80000000005</v>
      </c>
    </row>
    <row r="337" spans="1:23" x14ac:dyDescent="0.25">
      <c r="A337" s="204">
        <v>7203454549</v>
      </c>
      <c r="B337" s="204">
        <v>7203175930</v>
      </c>
      <c r="C337" s="126" t="s">
        <v>270</v>
      </c>
      <c r="D337" s="5">
        <v>6234000600</v>
      </c>
      <c r="E337" s="156">
        <v>44645</v>
      </c>
      <c r="F337" s="155">
        <v>28710</v>
      </c>
      <c r="G337" s="214" t="s">
        <v>1</v>
      </c>
      <c r="H337" s="6"/>
      <c r="I337" s="55">
        <v>0</v>
      </c>
      <c r="J337" s="57">
        <v>24.4</v>
      </c>
      <c r="K337" s="3"/>
      <c r="L337" s="6"/>
      <c r="M337" s="6"/>
      <c r="N337" s="6"/>
      <c r="O337" s="62">
        <v>33350</v>
      </c>
      <c r="P337" s="7" t="s">
        <v>269</v>
      </c>
      <c r="Q337" s="57">
        <v>24.4</v>
      </c>
      <c r="R337" s="57">
        <v>24.4</v>
      </c>
      <c r="S337" t="s">
        <v>433</v>
      </c>
      <c r="T337">
        <f t="shared" si="20"/>
        <v>700524</v>
      </c>
      <c r="U337">
        <f t="shared" si="21"/>
        <v>4640</v>
      </c>
      <c r="V337">
        <f t="shared" si="22"/>
        <v>813740</v>
      </c>
      <c r="W337">
        <f t="shared" si="23"/>
        <v>113216</v>
      </c>
    </row>
    <row r="338" spans="1:23" x14ac:dyDescent="0.25">
      <c r="A338" s="204">
        <v>7203454549</v>
      </c>
      <c r="B338" s="204">
        <v>7203175930</v>
      </c>
      <c r="C338" s="126" t="s">
        <v>270</v>
      </c>
      <c r="D338" s="5">
        <v>6234000600</v>
      </c>
      <c r="E338" s="156">
        <v>44645</v>
      </c>
      <c r="F338" s="155">
        <v>28710</v>
      </c>
      <c r="G338" s="214" t="s">
        <v>1</v>
      </c>
      <c r="H338" s="6"/>
      <c r="I338" s="55">
        <v>0</v>
      </c>
      <c r="J338" s="57">
        <v>23.78</v>
      </c>
      <c r="K338" s="3"/>
      <c r="L338" s="6"/>
      <c r="M338" s="6"/>
      <c r="N338" s="6"/>
      <c r="O338" s="62">
        <v>33350</v>
      </c>
      <c r="P338" s="7" t="s">
        <v>269</v>
      </c>
      <c r="Q338" s="57">
        <v>23.78</v>
      </c>
      <c r="R338" s="57">
        <v>23.78</v>
      </c>
      <c r="S338" t="s">
        <v>433</v>
      </c>
      <c r="T338">
        <f t="shared" si="20"/>
        <v>682723.8</v>
      </c>
      <c r="U338">
        <f t="shared" si="21"/>
        <v>4640</v>
      </c>
      <c r="V338">
        <f t="shared" si="22"/>
        <v>793063</v>
      </c>
      <c r="W338">
        <f t="shared" si="23"/>
        <v>110339.19999999995</v>
      </c>
    </row>
    <row r="339" spans="1:23" x14ac:dyDescent="0.25">
      <c r="A339" s="204">
        <v>7203454549</v>
      </c>
      <c r="B339" s="204">
        <v>7203175930</v>
      </c>
      <c r="C339" s="126" t="s">
        <v>270</v>
      </c>
      <c r="D339" s="5">
        <v>6234000600</v>
      </c>
      <c r="E339" s="156">
        <v>44645</v>
      </c>
      <c r="F339" s="155">
        <v>28710</v>
      </c>
      <c r="G339" s="214" t="s">
        <v>1</v>
      </c>
      <c r="H339" s="6"/>
      <c r="I339" s="55">
        <v>0</v>
      </c>
      <c r="J339" s="57">
        <v>26.06</v>
      </c>
      <c r="K339" s="3"/>
      <c r="L339" s="6"/>
      <c r="M339" s="6"/>
      <c r="N339" s="6"/>
      <c r="O339" s="62">
        <v>33350</v>
      </c>
      <c r="P339" s="7" t="s">
        <v>269</v>
      </c>
      <c r="Q339" s="57">
        <v>26.06</v>
      </c>
      <c r="R339" s="57">
        <v>26.06</v>
      </c>
      <c r="S339" t="s">
        <v>433</v>
      </c>
      <c r="T339">
        <f t="shared" si="20"/>
        <v>748182.6</v>
      </c>
      <c r="U339">
        <f t="shared" si="21"/>
        <v>4640</v>
      </c>
      <c r="V339">
        <f t="shared" si="22"/>
        <v>869101</v>
      </c>
      <c r="W339">
        <f t="shared" si="23"/>
        <v>120918.40000000002</v>
      </c>
    </row>
    <row r="340" spans="1:23" x14ac:dyDescent="0.25">
      <c r="A340" s="204">
        <v>7203454549</v>
      </c>
      <c r="B340" s="204">
        <v>7203175930</v>
      </c>
      <c r="C340" s="126" t="s">
        <v>270</v>
      </c>
      <c r="D340" s="203">
        <v>8602260410</v>
      </c>
      <c r="E340" s="156">
        <v>44645</v>
      </c>
      <c r="F340" s="155">
        <v>15300</v>
      </c>
      <c r="G340" s="175"/>
      <c r="H340" s="6"/>
      <c r="I340" s="55">
        <v>0</v>
      </c>
      <c r="J340" s="57">
        <v>26.68</v>
      </c>
      <c r="K340" s="3"/>
      <c r="L340" s="6"/>
      <c r="M340" s="6"/>
      <c r="N340" s="6"/>
      <c r="O340" s="62">
        <v>33350</v>
      </c>
      <c r="P340" s="7" t="s">
        <v>269</v>
      </c>
      <c r="Q340" s="57">
        <v>26.68</v>
      </c>
      <c r="R340" s="57">
        <v>26.68</v>
      </c>
      <c r="S340" t="s">
        <v>433</v>
      </c>
      <c r="T340">
        <f t="shared" si="20"/>
        <v>408204</v>
      </c>
      <c r="U340">
        <f t="shared" si="21"/>
        <v>18050</v>
      </c>
      <c r="V340">
        <f t="shared" si="22"/>
        <v>889778</v>
      </c>
      <c r="W340">
        <f t="shared" si="23"/>
        <v>481574</v>
      </c>
    </row>
    <row r="341" spans="1:23" x14ac:dyDescent="0.25">
      <c r="A341" s="204">
        <v>7203454549</v>
      </c>
      <c r="B341" s="204">
        <v>7203175930</v>
      </c>
      <c r="C341" s="126" t="s">
        <v>270</v>
      </c>
      <c r="D341" s="203">
        <v>8602260410</v>
      </c>
      <c r="E341" s="156">
        <v>44645</v>
      </c>
      <c r="F341" s="155">
        <v>15300</v>
      </c>
      <c r="G341" s="175"/>
      <c r="H341" s="6"/>
      <c r="I341" s="55">
        <v>0</v>
      </c>
      <c r="J341" s="57">
        <v>26.5</v>
      </c>
      <c r="K341" s="3"/>
      <c r="L341" s="6"/>
      <c r="M341" s="6"/>
      <c r="N341" s="6"/>
      <c r="O341" s="62">
        <v>33350</v>
      </c>
      <c r="P341" s="7" t="s">
        <v>269</v>
      </c>
      <c r="Q341" s="57">
        <v>26.5</v>
      </c>
      <c r="R341" s="57">
        <v>26.5</v>
      </c>
      <c r="S341" t="s">
        <v>433</v>
      </c>
      <c r="T341">
        <f t="shared" si="20"/>
        <v>405450</v>
      </c>
      <c r="U341">
        <f t="shared" si="21"/>
        <v>18050</v>
      </c>
      <c r="V341">
        <f t="shared" si="22"/>
        <v>883775</v>
      </c>
      <c r="W341">
        <f t="shared" si="23"/>
        <v>478325</v>
      </c>
    </row>
    <row r="342" spans="1:23" x14ac:dyDescent="0.25">
      <c r="A342" s="204">
        <v>7203454549</v>
      </c>
      <c r="B342" s="204">
        <v>7203175930</v>
      </c>
      <c r="C342" s="126" t="s">
        <v>270</v>
      </c>
      <c r="D342" s="203">
        <v>8602260410</v>
      </c>
      <c r="E342" s="156">
        <v>44645</v>
      </c>
      <c r="F342" s="155">
        <v>15300</v>
      </c>
      <c r="G342" s="175"/>
      <c r="H342" s="6"/>
      <c r="I342" s="55">
        <v>0</v>
      </c>
      <c r="J342" s="57">
        <v>26.84</v>
      </c>
      <c r="K342" s="3"/>
      <c r="L342" s="6"/>
      <c r="M342" s="6"/>
      <c r="N342" s="6"/>
      <c r="O342" s="62">
        <v>33350</v>
      </c>
      <c r="P342" s="7" t="s">
        <v>269</v>
      </c>
      <c r="Q342" s="57">
        <v>26.84</v>
      </c>
      <c r="R342" s="57">
        <v>26.84</v>
      </c>
      <c r="S342" t="s">
        <v>433</v>
      </c>
      <c r="T342">
        <f t="shared" si="20"/>
        <v>410652</v>
      </c>
      <c r="U342">
        <f t="shared" si="21"/>
        <v>18050</v>
      </c>
      <c r="V342">
        <f t="shared" si="22"/>
        <v>895114</v>
      </c>
      <c r="W342">
        <f t="shared" si="23"/>
        <v>484462</v>
      </c>
    </row>
    <row r="343" spans="1:23" x14ac:dyDescent="0.25">
      <c r="A343" s="204">
        <v>7203454549</v>
      </c>
      <c r="B343" s="204">
        <v>7203175930</v>
      </c>
      <c r="C343" s="126" t="s">
        <v>270</v>
      </c>
      <c r="D343" s="5">
        <v>6234000600</v>
      </c>
      <c r="E343" s="156">
        <v>44646</v>
      </c>
      <c r="F343" s="155">
        <v>28710</v>
      </c>
      <c r="G343" s="214" t="s">
        <v>1</v>
      </c>
      <c r="H343" s="6"/>
      <c r="I343" s="55">
        <v>0</v>
      </c>
      <c r="J343" s="57">
        <v>26.28</v>
      </c>
      <c r="K343" s="3"/>
      <c r="L343" s="6"/>
      <c r="M343" s="6"/>
      <c r="N343" s="6"/>
      <c r="O343" s="62">
        <v>33350</v>
      </c>
      <c r="P343" s="7" t="s">
        <v>269</v>
      </c>
      <c r="Q343" s="57">
        <v>26.28</v>
      </c>
      <c r="R343" s="57">
        <v>26.28</v>
      </c>
      <c r="S343" t="s">
        <v>433</v>
      </c>
      <c r="T343">
        <f t="shared" si="20"/>
        <v>754498.8</v>
      </c>
      <c r="U343">
        <f t="shared" si="21"/>
        <v>4640</v>
      </c>
      <c r="V343">
        <f t="shared" si="22"/>
        <v>876438</v>
      </c>
      <c r="W343">
        <f t="shared" si="23"/>
        <v>121939.19999999995</v>
      </c>
    </row>
    <row r="344" spans="1:23" x14ac:dyDescent="0.25">
      <c r="A344" s="204">
        <v>7203454549</v>
      </c>
      <c r="B344" s="204">
        <v>7203175930</v>
      </c>
      <c r="C344" s="126" t="s">
        <v>270</v>
      </c>
      <c r="D344" s="5">
        <v>6234000600</v>
      </c>
      <c r="E344" s="156">
        <v>44647</v>
      </c>
      <c r="F344" s="155">
        <v>28710</v>
      </c>
      <c r="G344" s="214" t="s">
        <v>1</v>
      </c>
      <c r="H344" s="6"/>
      <c r="I344" s="55">
        <v>0</v>
      </c>
      <c r="J344" s="57">
        <v>25.76</v>
      </c>
      <c r="K344" s="3"/>
      <c r="L344" s="6"/>
      <c r="M344" s="6"/>
      <c r="N344" s="6"/>
      <c r="O344" s="62">
        <v>33350</v>
      </c>
      <c r="P344" s="7" t="s">
        <v>269</v>
      </c>
      <c r="Q344" s="57">
        <v>25.76</v>
      </c>
      <c r="R344" s="57">
        <v>25.76</v>
      </c>
      <c r="S344" t="s">
        <v>433</v>
      </c>
      <c r="T344">
        <f t="shared" si="20"/>
        <v>739569.60000000009</v>
      </c>
      <c r="U344">
        <f t="shared" si="21"/>
        <v>4640</v>
      </c>
      <c r="V344">
        <f t="shared" si="22"/>
        <v>859096</v>
      </c>
      <c r="W344">
        <f t="shared" si="23"/>
        <v>119526.39999999991</v>
      </c>
    </row>
    <row r="345" spans="1:23" x14ac:dyDescent="0.25">
      <c r="A345" s="204">
        <v>7203454549</v>
      </c>
      <c r="B345" s="204">
        <v>7203175930</v>
      </c>
      <c r="C345" s="126" t="s">
        <v>270</v>
      </c>
      <c r="D345" s="5">
        <v>6234000600</v>
      </c>
      <c r="E345" s="156">
        <v>44647</v>
      </c>
      <c r="F345" s="155">
        <v>28710</v>
      </c>
      <c r="G345" s="214" t="s">
        <v>1</v>
      </c>
      <c r="H345" s="6"/>
      <c r="I345" s="55">
        <v>0</v>
      </c>
      <c r="J345" s="57">
        <v>26.14</v>
      </c>
      <c r="K345" s="3"/>
      <c r="L345" s="6"/>
      <c r="M345" s="6"/>
      <c r="N345" s="6"/>
      <c r="O345" s="62">
        <v>33350</v>
      </c>
      <c r="P345" s="7" t="s">
        <v>269</v>
      </c>
      <c r="Q345" s="57">
        <v>26.14</v>
      </c>
      <c r="R345" s="57">
        <v>26.14</v>
      </c>
      <c r="S345" t="s">
        <v>433</v>
      </c>
      <c r="T345">
        <f t="shared" si="20"/>
        <v>750479.4</v>
      </c>
      <c r="U345">
        <f t="shared" si="21"/>
        <v>4640</v>
      </c>
      <c r="V345">
        <f t="shared" si="22"/>
        <v>871769</v>
      </c>
      <c r="W345">
        <f t="shared" si="23"/>
        <v>121289.59999999998</v>
      </c>
    </row>
    <row r="346" spans="1:23" x14ac:dyDescent="0.25">
      <c r="A346" s="204">
        <v>7203454549</v>
      </c>
      <c r="B346" s="204">
        <v>7203175930</v>
      </c>
      <c r="C346" s="126" t="s">
        <v>270</v>
      </c>
      <c r="D346" s="203">
        <v>8602260410</v>
      </c>
      <c r="E346" s="156">
        <v>44647</v>
      </c>
      <c r="F346" s="155">
        <v>15300</v>
      </c>
      <c r="G346" s="175"/>
      <c r="H346" s="6"/>
      <c r="I346" s="55">
        <v>0</v>
      </c>
      <c r="J346" s="56">
        <v>26.44</v>
      </c>
      <c r="K346" s="3"/>
      <c r="L346" s="6"/>
      <c r="M346" s="6"/>
      <c r="N346" s="6"/>
      <c r="O346" s="62">
        <v>33350</v>
      </c>
      <c r="P346" s="7" t="s">
        <v>269</v>
      </c>
      <c r="Q346" s="56">
        <v>26.44</v>
      </c>
      <c r="R346" s="56">
        <v>26.44</v>
      </c>
      <c r="S346" t="s">
        <v>433</v>
      </c>
      <c r="T346">
        <f t="shared" si="20"/>
        <v>404532</v>
      </c>
      <c r="U346">
        <f t="shared" si="21"/>
        <v>18050</v>
      </c>
      <c r="V346">
        <f t="shared" si="22"/>
        <v>881774</v>
      </c>
      <c r="W346">
        <f t="shared" si="23"/>
        <v>477242</v>
      </c>
    </row>
    <row r="347" spans="1:23" x14ac:dyDescent="0.25">
      <c r="A347" s="204">
        <v>7203454549</v>
      </c>
      <c r="B347" s="204">
        <v>7203175930</v>
      </c>
      <c r="C347" s="126" t="s">
        <v>270</v>
      </c>
      <c r="D347" s="5">
        <v>6234000600</v>
      </c>
      <c r="E347" s="156">
        <v>44648</v>
      </c>
      <c r="F347" s="155">
        <v>28710</v>
      </c>
      <c r="G347" s="214" t="s">
        <v>1</v>
      </c>
      <c r="H347" s="6"/>
      <c r="I347" s="55">
        <v>0</v>
      </c>
      <c r="J347" s="57">
        <v>25.18</v>
      </c>
      <c r="K347" s="3"/>
      <c r="L347" s="6"/>
      <c r="M347" s="6"/>
      <c r="N347" s="6"/>
      <c r="O347" s="62">
        <v>33350</v>
      </c>
      <c r="P347" s="7" t="s">
        <v>269</v>
      </c>
      <c r="Q347" s="57">
        <v>25.18</v>
      </c>
      <c r="R347" s="57">
        <v>25.18</v>
      </c>
      <c r="S347" t="s">
        <v>433</v>
      </c>
      <c r="T347">
        <f t="shared" si="20"/>
        <v>722917.8</v>
      </c>
      <c r="U347">
        <f t="shared" si="21"/>
        <v>4640</v>
      </c>
      <c r="V347">
        <f t="shared" si="22"/>
        <v>839753</v>
      </c>
      <c r="W347">
        <f t="shared" si="23"/>
        <v>116835.19999999995</v>
      </c>
    </row>
    <row r="348" spans="1:23" x14ac:dyDescent="0.25">
      <c r="A348" s="204">
        <v>7203454549</v>
      </c>
      <c r="B348" s="204">
        <v>7203175930</v>
      </c>
      <c r="C348" s="126" t="s">
        <v>270</v>
      </c>
      <c r="D348" s="5">
        <v>6234000600</v>
      </c>
      <c r="E348" s="156">
        <v>44648</v>
      </c>
      <c r="F348" s="155">
        <v>28710</v>
      </c>
      <c r="G348" s="214" t="s">
        <v>1</v>
      </c>
      <c r="H348" s="6"/>
      <c r="I348" s="55">
        <v>0</v>
      </c>
      <c r="J348" s="57">
        <v>26.5</v>
      </c>
      <c r="K348" s="3"/>
      <c r="L348" s="6"/>
      <c r="M348" s="6"/>
      <c r="N348" s="6"/>
      <c r="O348" s="62">
        <v>33350</v>
      </c>
      <c r="P348" s="7" t="s">
        <v>269</v>
      </c>
      <c r="Q348" s="57">
        <v>26.5</v>
      </c>
      <c r="R348" s="57">
        <v>26.5</v>
      </c>
      <c r="S348" t="s">
        <v>433</v>
      </c>
      <c r="T348">
        <f t="shared" si="20"/>
        <v>760815</v>
      </c>
      <c r="U348">
        <f t="shared" si="21"/>
        <v>4640</v>
      </c>
      <c r="V348">
        <f t="shared" si="22"/>
        <v>883775</v>
      </c>
      <c r="W348">
        <f t="shared" si="23"/>
        <v>122960</v>
      </c>
    </row>
    <row r="349" spans="1:23" x14ac:dyDescent="0.25">
      <c r="A349" s="204">
        <v>7203454549</v>
      </c>
      <c r="B349" s="204">
        <v>7203175930</v>
      </c>
      <c r="C349" s="126" t="s">
        <v>270</v>
      </c>
      <c r="D349" s="5">
        <v>6234000600</v>
      </c>
      <c r="E349" s="156">
        <v>44648</v>
      </c>
      <c r="F349" s="155">
        <v>28710</v>
      </c>
      <c r="G349" s="214" t="s">
        <v>1</v>
      </c>
      <c r="H349" s="6"/>
      <c r="I349" s="55">
        <v>0</v>
      </c>
      <c r="J349" s="57">
        <v>26.66</v>
      </c>
      <c r="K349" s="3"/>
      <c r="L349" s="6"/>
      <c r="M349" s="6"/>
      <c r="N349" s="6"/>
      <c r="O349" s="62">
        <v>33350</v>
      </c>
      <c r="P349" s="7" t="s">
        <v>269</v>
      </c>
      <c r="Q349" s="57">
        <v>26.66</v>
      </c>
      <c r="R349" s="57">
        <v>26.66</v>
      </c>
      <c r="S349" t="s">
        <v>433</v>
      </c>
      <c r="T349">
        <f t="shared" si="20"/>
        <v>765408.6</v>
      </c>
      <c r="U349">
        <f t="shared" si="21"/>
        <v>4640</v>
      </c>
      <c r="V349">
        <f t="shared" si="22"/>
        <v>889111</v>
      </c>
      <c r="W349">
        <f t="shared" si="23"/>
        <v>123702.40000000002</v>
      </c>
    </row>
    <row r="350" spans="1:23" x14ac:dyDescent="0.25">
      <c r="A350" s="204">
        <v>7203454549</v>
      </c>
      <c r="B350" s="204">
        <v>7203175930</v>
      </c>
      <c r="C350" s="126" t="s">
        <v>270</v>
      </c>
      <c r="D350" s="5">
        <v>6234000600</v>
      </c>
      <c r="E350" s="156">
        <v>44648</v>
      </c>
      <c r="F350" s="155">
        <v>28710</v>
      </c>
      <c r="G350" s="214" t="s">
        <v>1</v>
      </c>
      <c r="H350" s="6"/>
      <c r="I350" s="55">
        <v>0</v>
      </c>
      <c r="J350" s="57">
        <v>23.82</v>
      </c>
      <c r="K350" s="3"/>
      <c r="L350" s="6"/>
      <c r="M350" s="6"/>
      <c r="N350" s="6"/>
      <c r="O350" s="62">
        <v>33350</v>
      </c>
      <c r="P350" s="7" t="s">
        <v>269</v>
      </c>
      <c r="Q350" s="57">
        <v>23.82</v>
      </c>
      <c r="R350" s="57">
        <v>23.82</v>
      </c>
      <c r="S350" t="s">
        <v>433</v>
      </c>
      <c r="T350">
        <f t="shared" si="20"/>
        <v>683872.2</v>
      </c>
      <c r="U350">
        <f t="shared" si="21"/>
        <v>4640</v>
      </c>
      <c r="V350">
        <f t="shared" si="22"/>
        <v>794397</v>
      </c>
      <c r="W350">
        <f t="shared" si="23"/>
        <v>110524.80000000005</v>
      </c>
    </row>
    <row r="351" spans="1:23" x14ac:dyDescent="0.25">
      <c r="A351" s="204">
        <v>7203454549</v>
      </c>
      <c r="B351" s="204">
        <v>7203175930</v>
      </c>
      <c r="C351" s="126" t="s">
        <v>270</v>
      </c>
      <c r="D351" s="5">
        <v>6234000600</v>
      </c>
      <c r="E351" s="156">
        <v>44648</v>
      </c>
      <c r="F351" s="155">
        <v>28710</v>
      </c>
      <c r="G351" s="214" t="s">
        <v>1</v>
      </c>
      <c r="H351" s="6"/>
      <c r="I351" s="55">
        <v>0</v>
      </c>
      <c r="J351" s="57">
        <v>23.96</v>
      </c>
      <c r="K351" s="3"/>
      <c r="L351" s="6"/>
      <c r="M351" s="6"/>
      <c r="N351" s="6"/>
      <c r="O351" s="62">
        <v>33350</v>
      </c>
      <c r="P351" s="7" t="s">
        <v>269</v>
      </c>
      <c r="Q351" s="57">
        <v>23.96</v>
      </c>
      <c r="R351" s="57">
        <v>23.96</v>
      </c>
      <c r="S351" t="s">
        <v>433</v>
      </c>
      <c r="T351">
        <f t="shared" si="20"/>
        <v>687891.6</v>
      </c>
      <c r="U351">
        <f t="shared" si="21"/>
        <v>4640</v>
      </c>
      <c r="V351">
        <f t="shared" si="22"/>
        <v>799066</v>
      </c>
      <c r="W351">
        <f t="shared" si="23"/>
        <v>111174.40000000002</v>
      </c>
    </row>
    <row r="352" spans="1:23" x14ac:dyDescent="0.25">
      <c r="A352" s="204">
        <v>7203454549</v>
      </c>
      <c r="B352" s="204">
        <v>7203175930</v>
      </c>
      <c r="C352" s="126" t="s">
        <v>270</v>
      </c>
      <c r="D352" s="5">
        <v>6234000600</v>
      </c>
      <c r="E352" s="156">
        <v>44648</v>
      </c>
      <c r="F352" s="155">
        <v>28710</v>
      </c>
      <c r="G352" s="214" t="s">
        <v>1</v>
      </c>
      <c r="H352" s="6"/>
      <c r="I352" s="55">
        <v>0</v>
      </c>
      <c r="J352" s="57">
        <v>25.18</v>
      </c>
      <c r="K352" s="3"/>
      <c r="L352" s="6"/>
      <c r="M352" s="6"/>
      <c r="N352" s="6"/>
      <c r="O352" s="62">
        <v>33350</v>
      </c>
      <c r="P352" s="7" t="s">
        <v>269</v>
      </c>
      <c r="Q352" s="57">
        <v>25.18</v>
      </c>
      <c r="R352" s="57">
        <v>25.18</v>
      </c>
      <c r="S352" t="s">
        <v>433</v>
      </c>
      <c r="T352">
        <f t="shared" si="20"/>
        <v>722917.8</v>
      </c>
      <c r="U352">
        <f t="shared" si="21"/>
        <v>4640</v>
      </c>
      <c r="V352">
        <f t="shared" si="22"/>
        <v>839753</v>
      </c>
      <c r="W352">
        <f t="shared" si="23"/>
        <v>116835.19999999995</v>
      </c>
    </row>
    <row r="353" spans="1:23" x14ac:dyDescent="0.25">
      <c r="A353" s="204">
        <v>7203454549</v>
      </c>
      <c r="B353" s="204">
        <v>7203175930</v>
      </c>
      <c r="C353" s="126" t="s">
        <v>270</v>
      </c>
      <c r="D353" s="5">
        <v>6234000600</v>
      </c>
      <c r="E353" s="156">
        <v>44648</v>
      </c>
      <c r="F353" s="155">
        <v>28710</v>
      </c>
      <c r="G353" s="214" t="s">
        <v>1</v>
      </c>
      <c r="H353" s="6"/>
      <c r="I353" s="55">
        <v>0</v>
      </c>
      <c r="J353" s="57">
        <v>24.48</v>
      </c>
      <c r="K353" s="3"/>
      <c r="L353" s="6"/>
      <c r="M353" s="6"/>
      <c r="N353" s="6"/>
      <c r="O353" s="62">
        <v>33350</v>
      </c>
      <c r="P353" s="7" t="s">
        <v>269</v>
      </c>
      <c r="Q353" s="57">
        <v>24.48</v>
      </c>
      <c r="R353" s="57">
        <v>24.48</v>
      </c>
      <c r="S353" t="s">
        <v>433</v>
      </c>
      <c r="T353">
        <f t="shared" si="20"/>
        <v>702820.8</v>
      </c>
      <c r="U353">
        <f t="shared" si="21"/>
        <v>4640</v>
      </c>
      <c r="V353">
        <f t="shared" si="22"/>
        <v>816408</v>
      </c>
      <c r="W353">
        <f t="shared" si="23"/>
        <v>113587.19999999995</v>
      </c>
    </row>
    <row r="354" spans="1:23" x14ac:dyDescent="0.25">
      <c r="A354" s="204">
        <v>7203454549</v>
      </c>
      <c r="B354" s="204">
        <v>7203175930</v>
      </c>
      <c r="C354" s="126" t="s">
        <v>270</v>
      </c>
      <c r="D354" s="5">
        <v>6234000600</v>
      </c>
      <c r="E354" s="156">
        <v>44649</v>
      </c>
      <c r="F354" s="155">
        <v>28710</v>
      </c>
      <c r="G354" s="214" t="s">
        <v>1</v>
      </c>
      <c r="H354" s="6"/>
      <c r="I354" s="55">
        <v>0</v>
      </c>
      <c r="J354" s="58">
        <v>26.08</v>
      </c>
      <c r="K354" s="3"/>
      <c r="L354" s="6"/>
      <c r="M354" s="6"/>
      <c r="N354" s="6"/>
      <c r="O354" s="62">
        <v>33350</v>
      </c>
      <c r="P354" s="7" t="s">
        <v>269</v>
      </c>
      <c r="Q354" s="58">
        <v>26.08</v>
      </c>
      <c r="R354" s="58">
        <v>26.08</v>
      </c>
      <c r="S354" t="s">
        <v>433</v>
      </c>
      <c r="T354">
        <f t="shared" si="20"/>
        <v>748756.79999999993</v>
      </c>
      <c r="U354">
        <f t="shared" si="21"/>
        <v>4640</v>
      </c>
      <c r="V354">
        <f t="shared" si="22"/>
        <v>869768</v>
      </c>
      <c r="W354">
        <f t="shared" si="23"/>
        <v>121011.20000000007</v>
      </c>
    </row>
    <row r="355" spans="1:23" x14ac:dyDescent="0.25">
      <c r="A355" s="204">
        <v>7203454549</v>
      </c>
      <c r="B355" s="204">
        <v>7203175930</v>
      </c>
      <c r="C355" s="126" t="s">
        <v>270</v>
      </c>
      <c r="D355" s="5">
        <v>6234000600</v>
      </c>
      <c r="E355" s="156">
        <v>44649</v>
      </c>
      <c r="F355" s="155">
        <v>28710</v>
      </c>
      <c r="G355" s="214" t="s">
        <v>1</v>
      </c>
      <c r="H355" s="6"/>
      <c r="I355" s="55">
        <v>0</v>
      </c>
      <c r="J355" s="58">
        <v>24.42</v>
      </c>
      <c r="K355" s="3"/>
      <c r="L355" s="6"/>
      <c r="M355" s="6"/>
      <c r="N355" s="6"/>
      <c r="O355" s="62">
        <v>33350</v>
      </c>
      <c r="P355" s="7" t="s">
        <v>269</v>
      </c>
      <c r="Q355" s="58">
        <v>24.42</v>
      </c>
      <c r="R355" s="58">
        <v>24.42</v>
      </c>
      <c r="S355" t="s">
        <v>433</v>
      </c>
      <c r="T355">
        <f t="shared" si="20"/>
        <v>701098.20000000007</v>
      </c>
      <c r="U355">
        <f t="shared" si="21"/>
        <v>4640</v>
      </c>
      <c r="V355">
        <f t="shared" si="22"/>
        <v>814407</v>
      </c>
      <c r="W355">
        <f t="shared" si="23"/>
        <v>113308.79999999993</v>
      </c>
    </row>
    <row r="356" spans="1:23" x14ac:dyDescent="0.25">
      <c r="A356" s="204">
        <v>7203454549</v>
      </c>
      <c r="B356" s="204">
        <v>7203175930</v>
      </c>
      <c r="C356" s="126" t="s">
        <v>270</v>
      </c>
      <c r="D356" s="5">
        <v>6234000600</v>
      </c>
      <c r="E356" s="156">
        <v>44649</v>
      </c>
      <c r="F356" s="155">
        <v>28710</v>
      </c>
      <c r="G356" s="214" t="s">
        <v>1</v>
      </c>
      <c r="H356" s="6"/>
      <c r="I356" s="55">
        <v>0</v>
      </c>
      <c r="J356" s="58">
        <v>24.28</v>
      </c>
      <c r="K356" s="3"/>
      <c r="L356" s="6"/>
      <c r="M356" s="6"/>
      <c r="N356" s="6"/>
      <c r="O356" s="62">
        <v>33350</v>
      </c>
      <c r="P356" s="7" t="s">
        <v>269</v>
      </c>
      <c r="Q356" s="58">
        <v>24.28</v>
      </c>
      <c r="R356" s="58">
        <v>24.28</v>
      </c>
      <c r="S356" t="s">
        <v>433</v>
      </c>
      <c r="T356">
        <f t="shared" si="20"/>
        <v>697078.8</v>
      </c>
      <c r="U356">
        <f t="shared" si="21"/>
        <v>4640</v>
      </c>
      <c r="V356">
        <f t="shared" si="22"/>
        <v>809738</v>
      </c>
      <c r="W356">
        <f t="shared" si="23"/>
        <v>112659.19999999995</v>
      </c>
    </row>
    <row r="357" spans="1:23" x14ac:dyDescent="0.25">
      <c r="A357" s="204">
        <v>7203454549</v>
      </c>
      <c r="B357" s="204">
        <v>7203175930</v>
      </c>
      <c r="C357" s="126" t="s">
        <v>270</v>
      </c>
      <c r="D357" s="5">
        <v>6234000600</v>
      </c>
      <c r="E357" s="156">
        <v>44649</v>
      </c>
      <c r="F357" s="155">
        <v>28710</v>
      </c>
      <c r="G357" s="214" t="s">
        <v>1</v>
      </c>
      <c r="H357" s="6"/>
      <c r="I357" s="55">
        <v>0</v>
      </c>
      <c r="J357" s="58">
        <v>23.88</v>
      </c>
      <c r="K357" s="3"/>
      <c r="L357" s="6"/>
      <c r="M357" s="6"/>
      <c r="N357" s="6"/>
      <c r="O357" s="62">
        <v>33350</v>
      </c>
      <c r="P357" s="7" t="s">
        <v>269</v>
      </c>
      <c r="Q357" s="58">
        <v>23.88</v>
      </c>
      <c r="R357" s="58">
        <v>23.88</v>
      </c>
      <c r="S357" t="s">
        <v>433</v>
      </c>
      <c r="T357">
        <f t="shared" si="20"/>
        <v>685594.79999999993</v>
      </c>
      <c r="U357">
        <f t="shared" si="21"/>
        <v>4640</v>
      </c>
      <c r="V357">
        <f t="shared" si="22"/>
        <v>796398</v>
      </c>
      <c r="W357">
        <f t="shared" si="23"/>
        <v>110803.20000000007</v>
      </c>
    </row>
    <row r="358" spans="1:23" x14ac:dyDescent="0.25">
      <c r="A358" s="204">
        <v>7203454549</v>
      </c>
      <c r="B358" s="204">
        <v>7203175930</v>
      </c>
      <c r="C358" s="126" t="s">
        <v>270</v>
      </c>
      <c r="D358" s="5">
        <v>6234000600</v>
      </c>
      <c r="E358" s="156">
        <v>44649</v>
      </c>
      <c r="F358" s="155">
        <v>28710</v>
      </c>
      <c r="G358" s="214" t="s">
        <v>1</v>
      </c>
      <c r="H358" s="6"/>
      <c r="I358" s="55">
        <v>0</v>
      </c>
      <c r="J358" s="58">
        <v>24.32</v>
      </c>
      <c r="K358" s="3"/>
      <c r="L358" s="6"/>
      <c r="M358" s="6"/>
      <c r="N358" s="6"/>
      <c r="O358" s="62">
        <v>33350</v>
      </c>
      <c r="P358" s="7" t="s">
        <v>269</v>
      </c>
      <c r="Q358" s="58">
        <v>24.32</v>
      </c>
      <c r="R358" s="58">
        <v>24.32</v>
      </c>
      <c r="S358" t="s">
        <v>433</v>
      </c>
      <c r="T358">
        <f t="shared" si="20"/>
        <v>698227.19999999995</v>
      </c>
      <c r="U358">
        <f t="shared" si="21"/>
        <v>4640</v>
      </c>
      <c r="V358">
        <f t="shared" si="22"/>
        <v>811072</v>
      </c>
      <c r="W358">
        <f t="shared" si="23"/>
        <v>112844.80000000005</v>
      </c>
    </row>
    <row r="359" spans="1:23" x14ac:dyDescent="0.25">
      <c r="A359" s="204">
        <v>7203454549</v>
      </c>
      <c r="B359" s="204">
        <v>7203175930</v>
      </c>
      <c r="C359" s="126" t="s">
        <v>270</v>
      </c>
      <c r="D359" s="5">
        <v>6234000600</v>
      </c>
      <c r="E359" s="156">
        <v>44649</v>
      </c>
      <c r="F359" s="155">
        <v>28710</v>
      </c>
      <c r="G359" s="214" t="s">
        <v>1</v>
      </c>
      <c r="H359" s="6"/>
      <c r="I359" s="55">
        <v>0</v>
      </c>
      <c r="J359" s="58">
        <v>26.48</v>
      </c>
      <c r="K359" s="3"/>
      <c r="L359" s="6"/>
      <c r="M359" s="6"/>
      <c r="N359" s="6"/>
      <c r="O359" s="62">
        <v>33350</v>
      </c>
      <c r="P359" s="7" t="s">
        <v>269</v>
      </c>
      <c r="Q359" s="58">
        <v>26.48</v>
      </c>
      <c r="R359" s="58">
        <v>26.48</v>
      </c>
      <c r="S359" t="s">
        <v>433</v>
      </c>
      <c r="T359">
        <f t="shared" si="20"/>
        <v>760240.8</v>
      </c>
      <c r="U359">
        <f t="shared" si="21"/>
        <v>4640</v>
      </c>
      <c r="V359">
        <f t="shared" si="22"/>
        <v>883108</v>
      </c>
      <c r="W359">
        <f t="shared" si="23"/>
        <v>122867.19999999995</v>
      </c>
    </row>
    <row r="360" spans="1:23" x14ac:dyDescent="0.25">
      <c r="A360" s="204">
        <v>7203454549</v>
      </c>
      <c r="B360" s="204">
        <v>7203175930</v>
      </c>
      <c r="C360" s="126" t="s">
        <v>270</v>
      </c>
      <c r="D360" s="5">
        <v>6234000600</v>
      </c>
      <c r="E360" s="156">
        <v>44650</v>
      </c>
      <c r="F360" s="155">
        <v>28710</v>
      </c>
      <c r="G360" s="214" t="s">
        <v>1</v>
      </c>
      <c r="H360" s="6"/>
      <c r="I360" s="55">
        <v>0</v>
      </c>
      <c r="J360" s="61">
        <v>24.28</v>
      </c>
      <c r="K360" s="3"/>
      <c r="L360" s="6"/>
      <c r="M360" s="6"/>
      <c r="N360" s="6"/>
      <c r="O360" s="62">
        <v>33350</v>
      </c>
      <c r="P360" s="7" t="s">
        <v>269</v>
      </c>
      <c r="Q360" s="61">
        <v>24.28</v>
      </c>
      <c r="R360" s="61">
        <v>24.28</v>
      </c>
      <c r="S360" t="s">
        <v>433</v>
      </c>
      <c r="T360">
        <f t="shared" si="20"/>
        <v>697078.8</v>
      </c>
      <c r="U360">
        <f t="shared" si="21"/>
        <v>4640</v>
      </c>
      <c r="V360">
        <f t="shared" si="22"/>
        <v>809738</v>
      </c>
      <c r="W360">
        <f t="shared" si="23"/>
        <v>112659.19999999995</v>
      </c>
    </row>
    <row r="361" spans="1:23" x14ac:dyDescent="0.25">
      <c r="A361" s="204">
        <v>7203454549</v>
      </c>
      <c r="B361" s="204">
        <v>7203175930</v>
      </c>
      <c r="C361" s="126" t="s">
        <v>270</v>
      </c>
      <c r="D361" s="5">
        <v>6234000600</v>
      </c>
      <c r="E361" s="156">
        <v>44650</v>
      </c>
      <c r="F361" s="155">
        <v>28710</v>
      </c>
      <c r="G361" s="214" t="s">
        <v>1</v>
      </c>
      <c r="H361" s="6"/>
      <c r="I361" s="55">
        <v>0</v>
      </c>
      <c r="J361" s="61">
        <v>26.66</v>
      </c>
      <c r="K361" s="3"/>
      <c r="L361" s="6"/>
      <c r="M361" s="6"/>
      <c r="N361" s="6"/>
      <c r="O361" s="62">
        <v>33350</v>
      </c>
      <c r="P361" s="7" t="s">
        <v>269</v>
      </c>
      <c r="Q361" s="61">
        <v>26.66</v>
      </c>
      <c r="R361" s="61">
        <v>26.66</v>
      </c>
      <c r="S361" t="s">
        <v>433</v>
      </c>
      <c r="T361">
        <f t="shared" si="20"/>
        <v>765408.6</v>
      </c>
      <c r="U361">
        <f t="shared" si="21"/>
        <v>4640</v>
      </c>
      <c r="V361">
        <f t="shared" si="22"/>
        <v>889111</v>
      </c>
      <c r="W361">
        <f t="shared" si="23"/>
        <v>123702.40000000002</v>
      </c>
    </row>
    <row r="362" spans="1:23" x14ac:dyDescent="0.25">
      <c r="A362" s="204">
        <v>7203454549</v>
      </c>
      <c r="B362" s="204">
        <v>7203175930</v>
      </c>
      <c r="C362" s="126" t="s">
        <v>270</v>
      </c>
      <c r="D362" s="5">
        <v>6234000600</v>
      </c>
      <c r="E362" s="156">
        <v>44650</v>
      </c>
      <c r="F362" s="155">
        <v>28710</v>
      </c>
      <c r="G362" s="214" t="s">
        <v>1</v>
      </c>
      <c r="H362" s="6"/>
      <c r="I362" s="55">
        <v>0</v>
      </c>
      <c r="J362" s="61">
        <v>26.26</v>
      </c>
      <c r="K362" s="3"/>
      <c r="L362" s="6"/>
      <c r="M362" s="6"/>
      <c r="N362" s="6"/>
      <c r="O362" s="62">
        <v>33350</v>
      </c>
      <c r="P362" s="7" t="s">
        <v>269</v>
      </c>
      <c r="Q362" s="61">
        <v>26.26</v>
      </c>
      <c r="R362" s="61">
        <v>26.26</v>
      </c>
      <c r="S362" t="s">
        <v>433</v>
      </c>
      <c r="T362">
        <f t="shared" si="20"/>
        <v>753924.60000000009</v>
      </c>
      <c r="U362">
        <f t="shared" si="21"/>
        <v>4640</v>
      </c>
      <c r="V362">
        <f t="shared" si="22"/>
        <v>875771</v>
      </c>
      <c r="W362">
        <f t="shared" si="23"/>
        <v>121846.39999999991</v>
      </c>
    </row>
    <row r="363" spans="1:23" x14ac:dyDescent="0.25">
      <c r="A363" s="204">
        <v>7203454549</v>
      </c>
      <c r="B363" s="204">
        <v>7203175930</v>
      </c>
      <c r="C363" s="126" t="s">
        <v>270</v>
      </c>
      <c r="D363" s="5">
        <v>6234000600</v>
      </c>
      <c r="E363" s="156">
        <v>44650</v>
      </c>
      <c r="F363" s="155">
        <v>28710</v>
      </c>
      <c r="G363" s="214" t="s">
        <v>1</v>
      </c>
      <c r="H363" s="6"/>
      <c r="I363" s="55">
        <v>0</v>
      </c>
      <c r="J363" s="61">
        <v>25.98</v>
      </c>
      <c r="K363" s="3"/>
      <c r="L363" s="6"/>
      <c r="M363" s="6"/>
      <c r="N363" s="6"/>
      <c r="O363" s="62">
        <v>33350</v>
      </c>
      <c r="P363" s="7" t="s">
        <v>269</v>
      </c>
      <c r="Q363" s="61">
        <v>25.98</v>
      </c>
      <c r="R363" s="61">
        <v>25.98</v>
      </c>
      <c r="S363" t="s">
        <v>433</v>
      </c>
      <c r="T363">
        <f t="shared" si="20"/>
        <v>745885.8</v>
      </c>
      <c r="U363">
        <f t="shared" si="21"/>
        <v>4640</v>
      </c>
      <c r="V363">
        <f t="shared" si="22"/>
        <v>866433</v>
      </c>
      <c r="W363">
        <f t="shared" si="23"/>
        <v>120547.19999999995</v>
      </c>
    </row>
    <row r="364" spans="1:23" x14ac:dyDescent="0.25">
      <c r="A364" s="204">
        <v>7203454549</v>
      </c>
      <c r="B364" s="204">
        <v>7203175930</v>
      </c>
      <c r="C364" s="126" t="s">
        <v>270</v>
      </c>
      <c r="D364" s="5">
        <v>6234000600</v>
      </c>
      <c r="E364" s="156">
        <v>44650</v>
      </c>
      <c r="F364" s="155">
        <v>28710</v>
      </c>
      <c r="G364" s="214" t="s">
        <v>1</v>
      </c>
      <c r="H364" s="6"/>
      <c r="I364" s="55">
        <v>0</v>
      </c>
      <c r="J364" s="61">
        <v>26.16</v>
      </c>
      <c r="K364" s="3"/>
      <c r="L364" s="6"/>
      <c r="M364" s="6"/>
      <c r="N364" s="6"/>
      <c r="O364" s="62">
        <v>33350</v>
      </c>
      <c r="P364" s="7" t="s">
        <v>269</v>
      </c>
      <c r="Q364" s="61">
        <v>26.16</v>
      </c>
      <c r="R364" s="61">
        <v>26.16</v>
      </c>
      <c r="S364" t="s">
        <v>433</v>
      </c>
      <c r="T364">
        <f t="shared" si="20"/>
        <v>751053.6</v>
      </c>
      <c r="U364">
        <f t="shared" si="21"/>
        <v>4640</v>
      </c>
      <c r="V364">
        <f t="shared" si="22"/>
        <v>872436</v>
      </c>
      <c r="W364">
        <f t="shared" si="23"/>
        <v>121382.40000000002</v>
      </c>
    </row>
    <row r="365" spans="1:23" x14ac:dyDescent="0.25">
      <c r="A365" s="204">
        <v>7203454549</v>
      </c>
      <c r="B365" s="204">
        <v>7203175930</v>
      </c>
      <c r="C365" s="126" t="s">
        <v>270</v>
      </c>
      <c r="D365" s="5">
        <v>6234000600</v>
      </c>
      <c r="E365" s="156">
        <v>44650</v>
      </c>
      <c r="F365" s="155">
        <v>28710</v>
      </c>
      <c r="G365" s="214" t="s">
        <v>1</v>
      </c>
      <c r="H365" s="6"/>
      <c r="I365" s="55">
        <v>0</v>
      </c>
      <c r="J365" s="61">
        <v>26.06</v>
      </c>
      <c r="K365" s="3"/>
      <c r="L365" s="6"/>
      <c r="M365" s="6"/>
      <c r="N365" s="6"/>
      <c r="O365" s="62">
        <v>33350</v>
      </c>
      <c r="P365" s="7" t="s">
        <v>269</v>
      </c>
      <c r="Q365" s="61">
        <v>26.06</v>
      </c>
      <c r="R365" s="61">
        <v>26.06</v>
      </c>
      <c r="S365" t="s">
        <v>433</v>
      </c>
      <c r="T365">
        <f t="shared" si="20"/>
        <v>748182.6</v>
      </c>
      <c r="U365">
        <f t="shared" si="21"/>
        <v>4640</v>
      </c>
      <c r="V365">
        <f t="shared" si="22"/>
        <v>869101</v>
      </c>
      <c r="W365">
        <f t="shared" si="23"/>
        <v>120918.40000000002</v>
      </c>
    </row>
    <row r="366" spans="1:23" x14ac:dyDescent="0.25">
      <c r="A366" s="204">
        <v>7203454549</v>
      </c>
      <c r="B366" s="204">
        <v>7203175930</v>
      </c>
      <c r="C366" s="126" t="s">
        <v>270</v>
      </c>
      <c r="D366" s="5">
        <v>6234000600</v>
      </c>
      <c r="E366" s="156">
        <v>44650</v>
      </c>
      <c r="F366" s="155">
        <v>28710</v>
      </c>
      <c r="G366" s="214" t="s">
        <v>1</v>
      </c>
      <c r="H366" s="6"/>
      <c r="I366" s="55">
        <v>0</v>
      </c>
      <c r="J366" s="61">
        <v>26.06</v>
      </c>
      <c r="K366" s="3"/>
      <c r="L366" s="6"/>
      <c r="M366" s="6"/>
      <c r="N366" s="6"/>
      <c r="O366" s="62">
        <v>33350</v>
      </c>
      <c r="P366" s="7" t="s">
        <v>269</v>
      </c>
      <c r="Q366" s="61">
        <v>26.06</v>
      </c>
      <c r="R366" s="61">
        <v>26.06</v>
      </c>
      <c r="S366" t="s">
        <v>433</v>
      </c>
      <c r="T366">
        <f t="shared" si="20"/>
        <v>748182.6</v>
      </c>
      <c r="U366">
        <f t="shared" si="21"/>
        <v>4640</v>
      </c>
      <c r="V366">
        <f t="shared" si="22"/>
        <v>869101</v>
      </c>
      <c r="W366">
        <f t="shared" si="23"/>
        <v>120918.40000000002</v>
      </c>
    </row>
    <row r="367" spans="1:23" x14ac:dyDescent="0.25">
      <c r="A367" s="204">
        <v>7203454549</v>
      </c>
      <c r="B367" s="204">
        <v>7203175930</v>
      </c>
      <c r="C367" s="126" t="s">
        <v>270</v>
      </c>
      <c r="D367" s="5">
        <v>6234000600</v>
      </c>
      <c r="E367" s="156">
        <v>44650</v>
      </c>
      <c r="F367" s="155">
        <v>28710</v>
      </c>
      <c r="G367" s="214" t="s">
        <v>1</v>
      </c>
      <c r="H367" s="6"/>
      <c r="I367" s="55">
        <v>0</v>
      </c>
      <c r="J367" s="61">
        <v>25.42</v>
      </c>
      <c r="K367" s="3"/>
      <c r="L367" s="6"/>
      <c r="M367" s="6"/>
      <c r="N367" s="6"/>
      <c r="O367" s="62">
        <v>33350</v>
      </c>
      <c r="P367" s="7" t="s">
        <v>269</v>
      </c>
      <c r="Q367" s="61">
        <v>25.42</v>
      </c>
      <c r="R367" s="61">
        <v>25.42</v>
      </c>
      <c r="S367" t="s">
        <v>433</v>
      </c>
      <c r="T367">
        <f t="shared" si="20"/>
        <v>729808.20000000007</v>
      </c>
      <c r="U367">
        <f t="shared" si="21"/>
        <v>4640</v>
      </c>
      <c r="V367">
        <f t="shared" si="22"/>
        <v>847757</v>
      </c>
      <c r="W367">
        <f t="shared" si="23"/>
        <v>117948.79999999993</v>
      </c>
    </row>
    <row r="368" spans="1:23" x14ac:dyDescent="0.25">
      <c r="A368" s="204">
        <v>7203454549</v>
      </c>
      <c r="B368" s="204">
        <v>7203175930</v>
      </c>
      <c r="C368" s="126" t="s">
        <v>270</v>
      </c>
      <c r="D368" s="5">
        <v>6234000600</v>
      </c>
      <c r="E368" s="156">
        <v>44650</v>
      </c>
      <c r="F368" s="155">
        <v>28710</v>
      </c>
      <c r="G368" s="214" t="s">
        <v>1</v>
      </c>
      <c r="H368" s="6"/>
      <c r="I368" s="55">
        <v>0</v>
      </c>
      <c r="J368" s="61">
        <v>23.86</v>
      </c>
      <c r="K368" s="3"/>
      <c r="L368" s="6"/>
      <c r="M368" s="6"/>
      <c r="N368" s="6"/>
      <c r="O368" s="62">
        <v>33350</v>
      </c>
      <c r="P368" s="7" t="s">
        <v>269</v>
      </c>
      <c r="Q368" s="61">
        <v>23.86</v>
      </c>
      <c r="R368" s="61">
        <v>23.86</v>
      </c>
      <c r="S368" t="s">
        <v>433</v>
      </c>
      <c r="T368">
        <f t="shared" si="20"/>
        <v>685020.6</v>
      </c>
      <c r="U368">
        <f t="shared" si="21"/>
        <v>4640</v>
      </c>
      <c r="V368">
        <f t="shared" si="22"/>
        <v>795731</v>
      </c>
      <c r="W368">
        <f t="shared" si="23"/>
        <v>110710.40000000002</v>
      </c>
    </row>
    <row r="369" spans="1:23" x14ac:dyDescent="0.25">
      <c r="A369" s="204">
        <v>7203454549</v>
      </c>
      <c r="B369" s="204">
        <v>7203175930</v>
      </c>
      <c r="C369" s="126" t="s">
        <v>270</v>
      </c>
      <c r="D369" s="5">
        <v>6234000600</v>
      </c>
      <c r="E369" s="156">
        <v>44648</v>
      </c>
      <c r="F369" s="155">
        <v>28710</v>
      </c>
      <c r="G369" s="214" t="s">
        <v>1</v>
      </c>
      <c r="H369" s="6"/>
      <c r="I369" s="55">
        <v>0</v>
      </c>
      <c r="J369" s="57">
        <v>26.28</v>
      </c>
      <c r="K369" s="3"/>
      <c r="L369" s="6"/>
      <c r="M369" s="6"/>
      <c r="N369" s="6"/>
      <c r="O369" s="62">
        <v>33350</v>
      </c>
      <c r="P369" s="7" t="s">
        <v>269</v>
      </c>
      <c r="Q369" s="57">
        <v>26.28</v>
      </c>
      <c r="R369" s="57">
        <v>26.28</v>
      </c>
      <c r="S369" t="s">
        <v>433</v>
      </c>
      <c r="T369">
        <f t="shared" si="20"/>
        <v>754498.8</v>
      </c>
      <c r="U369">
        <f t="shared" si="21"/>
        <v>4640</v>
      </c>
      <c r="V369">
        <f t="shared" si="22"/>
        <v>876438</v>
      </c>
      <c r="W369">
        <f t="shared" si="23"/>
        <v>121939.19999999995</v>
      </c>
    </row>
    <row r="370" spans="1:23" x14ac:dyDescent="0.25">
      <c r="A370" s="204">
        <v>7203454549</v>
      </c>
      <c r="B370" s="204">
        <v>7203175930</v>
      </c>
      <c r="C370" s="126" t="s">
        <v>270</v>
      </c>
      <c r="D370" s="5">
        <v>6234000600</v>
      </c>
      <c r="E370" s="156">
        <v>44650</v>
      </c>
      <c r="F370" s="155">
        <v>28710</v>
      </c>
      <c r="G370" s="214" t="s">
        <v>1</v>
      </c>
      <c r="H370" s="6"/>
      <c r="I370" s="55">
        <v>0</v>
      </c>
      <c r="J370" s="60">
        <v>25.46</v>
      </c>
      <c r="K370" s="3"/>
      <c r="L370" s="6"/>
      <c r="M370" s="6"/>
      <c r="N370" s="6"/>
      <c r="O370" s="62">
        <v>33350</v>
      </c>
      <c r="P370" s="7" t="s">
        <v>269</v>
      </c>
      <c r="Q370" s="60">
        <v>25.46</v>
      </c>
      <c r="R370" s="60">
        <v>25.46</v>
      </c>
      <c r="S370" t="s">
        <v>433</v>
      </c>
      <c r="T370">
        <f t="shared" si="20"/>
        <v>730956.6</v>
      </c>
      <c r="U370">
        <f t="shared" si="21"/>
        <v>4640</v>
      </c>
      <c r="V370">
        <f t="shared" si="22"/>
        <v>849091</v>
      </c>
      <c r="W370">
        <f t="shared" si="23"/>
        <v>118134.40000000002</v>
      </c>
    </row>
    <row r="371" spans="1:23" x14ac:dyDescent="0.25">
      <c r="A371" s="204">
        <v>7203454549</v>
      </c>
      <c r="B371" s="204">
        <v>7203175930</v>
      </c>
      <c r="C371" s="126" t="s">
        <v>270</v>
      </c>
      <c r="D371" s="5">
        <v>6234000600</v>
      </c>
      <c r="E371" s="156">
        <v>44650</v>
      </c>
      <c r="F371" s="155">
        <v>28710</v>
      </c>
      <c r="G371" s="214" t="s">
        <v>1</v>
      </c>
      <c r="H371" s="6"/>
      <c r="I371" s="55">
        <v>0</v>
      </c>
      <c r="J371" s="60">
        <v>25.88</v>
      </c>
      <c r="K371" s="3"/>
      <c r="L371" s="6"/>
      <c r="M371" s="6"/>
      <c r="N371" s="6"/>
      <c r="O371" s="62">
        <v>33350</v>
      </c>
      <c r="P371" s="7" t="s">
        <v>269</v>
      </c>
      <c r="Q371" s="60">
        <v>25.88</v>
      </c>
      <c r="R371" s="60">
        <v>25.88</v>
      </c>
      <c r="S371" t="s">
        <v>433</v>
      </c>
      <c r="T371">
        <f t="shared" si="20"/>
        <v>743014.79999999993</v>
      </c>
      <c r="U371">
        <f t="shared" si="21"/>
        <v>4640</v>
      </c>
      <c r="V371">
        <f t="shared" si="22"/>
        <v>863098</v>
      </c>
      <c r="W371">
        <f t="shared" si="23"/>
        <v>120083.20000000007</v>
      </c>
    </row>
    <row r="372" spans="1:23" x14ac:dyDescent="0.25">
      <c r="A372" s="204">
        <v>7203454549</v>
      </c>
      <c r="B372" s="204">
        <v>7203175930</v>
      </c>
      <c r="C372" s="126" t="s">
        <v>270</v>
      </c>
      <c r="D372" s="5">
        <v>6234000600</v>
      </c>
      <c r="E372" s="156">
        <v>44651</v>
      </c>
      <c r="F372" s="155">
        <v>28710</v>
      </c>
      <c r="G372" s="214" t="s">
        <v>1</v>
      </c>
      <c r="H372" s="6"/>
      <c r="I372" s="55">
        <v>0</v>
      </c>
      <c r="J372" s="60">
        <v>25.94</v>
      </c>
      <c r="K372" s="3"/>
      <c r="L372" s="6"/>
      <c r="M372" s="6"/>
      <c r="N372" s="6"/>
      <c r="O372" s="62">
        <v>33350</v>
      </c>
      <c r="P372" s="7" t="s">
        <v>269</v>
      </c>
      <c r="Q372" s="60">
        <v>25.94</v>
      </c>
      <c r="R372" s="60">
        <v>25.94</v>
      </c>
      <c r="S372" t="s">
        <v>433</v>
      </c>
      <c r="T372">
        <f t="shared" si="20"/>
        <v>744737.4</v>
      </c>
      <c r="U372">
        <f t="shared" si="21"/>
        <v>4640</v>
      </c>
      <c r="V372">
        <f t="shared" si="22"/>
        <v>865099</v>
      </c>
      <c r="W372">
        <f t="shared" si="23"/>
        <v>120361.59999999998</v>
      </c>
    </row>
    <row r="373" spans="1:23" x14ac:dyDescent="0.25">
      <c r="A373" s="204">
        <v>7203454549</v>
      </c>
      <c r="B373" s="204">
        <v>7203175930</v>
      </c>
      <c r="C373" s="126" t="s">
        <v>270</v>
      </c>
      <c r="D373" s="5">
        <v>6234000600</v>
      </c>
      <c r="E373" s="156">
        <v>44651</v>
      </c>
      <c r="F373" s="155">
        <v>28710</v>
      </c>
      <c r="G373" s="214" t="s">
        <v>1</v>
      </c>
      <c r="H373" s="6"/>
      <c r="I373" s="55">
        <v>0</v>
      </c>
      <c r="J373" s="60">
        <v>26.08</v>
      </c>
      <c r="K373" s="3"/>
      <c r="L373" s="6"/>
      <c r="M373" s="6"/>
      <c r="N373" s="6"/>
      <c r="O373" s="62">
        <v>33350</v>
      </c>
      <c r="P373" s="7" t="s">
        <v>269</v>
      </c>
      <c r="Q373" s="60">
        <v>26.08</v>
      </c>
      <c r="R373" s="60">
        <v>26.08</v>
      </c>
      <c r="S373" t="s">
        <v>433</v>
      </c>
      <c r="T373">
        <f t="shared" si="20"/>
        <v>748756.79999999993</v>
      </c>
      <c r="U373">
        <f t="shared" si="21"/>
        <v>4640</v>
      </c>
      <c r="V373">
        <f t="shared" si="22"/>
        <v>869768</v>
      </c>
      <c r="W373">
        <f t="shared" si="23"/>
        <v>121011.20000000007</v>
      </c>
    </row>
    <row r="374" spans="1:23" x14ac:dyDescent="0.25">
      <c r="A374" s="204">
        <v>7203454549</v>
      </c>
      <c r="B374" s="204">
        <v>7203175930</v>
      </c>
      <c r="C374" s="126" t="s">
        <v>270</v>
      </c>
      <c r="D374" s="5">
        <v>6234000600</v>
      </c>
      <c r="E374" s="156">
        <v>44651</v>
      </c>
      <c r="F374" s="155">
        <v>28710</v>
      </c>
      <c r="G374" s="214" t="s">
        <v>1</v>
      </c>
      <c r="H374" s="6"/>
      <c r="I374" s="55">
        <v>0</v>
      </c>
      <c r="J374" s="60">
        <v>26.3</v>
      </c>
      <c r="K374" s="3"/>
      <c r="L374" s="6"/>
      <c r="M374" s="6"/>
      <c r="N374" s="6"/>
      <c r="O374" s="62">
        <v>33350</v>
      </c>
      <c r="P374" s="7" t="s">
        <v>269</v>
      </c>
      <c r="Q374" s="60">
        <v>26.3</v>
      </c>
      <c r="R374" s="60">
        <v>26.3</v>
      </c>
      <c r="S374" t="s">
        <v>433</v>
      </c>
      <c r="T374">
        <f t="shared" si="20"/>
        <v>755073</v>
      </c>
      <c r="U374">
        <f t="shared" si="21"/>
        <v>4640</v>
      </c>
      <c r="V374">
        <f t="shared" si="22"/>
        <v>877105</v>
      </c>
      <c r="W374">
        <f t="shared" si="23"/>
        <v>122032</v>
      </c>
    </row>
    <row r="375" spans="1:23" x14ac:dyDescent="0.25">
      <c r="A375" s="204">
        <v>7203454549</v>
      </c>
      <c r="B375" s="204">
        <v>7203175930</v>
      </c>
      <c r="C375" s="126" t="s">
        <v>270</v>
      </c>
      <c r="D375" s="5">
        <v>6234000600</v>
      </c>
      <c r="E375" s="156">
        <v>44651</v>
      </c>
      <c r="F375" s="155">
        <v>28710</v>
      </c>
      <c r="G375" s="214" t="s">
        <v>1</v>
      </c>
      <c r="H375" s="6"/>
      <c r="I375" s="55">
        <v>0</v>
      </c>
      <c r="J375" s="60">
        <v>25.94</v>
      </c>
      <c r="K375" s="3"/>
      <c r="L375" s="6"/>
      <c r="M375" s="6"/>
      <c r="N375" s="6"/>
      <c r="O375" s="62">
        <v>33350</v>
      </c>
      <c r="P375" s="7" t="s">
        <v>269</v>
      </c>
      <c r="Q375" s="60">
        <v>25.94</v>
      </c>
      <c r="R375" s="60">
        <v>25.94</v>
      </c>
      <c r="S375" t="s">
        <v>433</v>
      </c>
      <c r="T375">
        <f t="shared" si="20"/>
        <v>744737.4</v>
      </c>
      <c r="U375">
        <f t="shared" si="21"/>
        <v>4640</v>
      </c>
      <c r="V375">
        <f t="shared" si="22"/>
        <v>865099</v>
      </c>
      <c r="W375">
        <f t="shared" si="23"/>
        <v>120361.59999999998</v>
      </c>
    </row>
    <row r="376" spans="1:23" x14ac:dyDescent="0.25">
      <c r="A376" s="204">
        <v>7203454549</v>
      </c>
      <c r="B376" s="204">
        <v>7203175930</v>
      </c>
      <c r="C376" s="126" t="s">
        <v>270</v>
      </c>
      <c r="D376" s="5">
        <v>6234000600</v>
      </c>
      <c r="E376" s="156">
        <v>44651</v>
      </c>
      <c r="F376" s="155">
        <v>28710</v>
      </c>
      <c r="G376" s="214" t="s">
        <v>1</v>
      </c>
      <c r="H376" s="6"/>
      <c r="I376" s="55">
        <v>0</v>
      </c>
      <c r="J376" s="59">
        <v>26.22</v>
      </c>
      <c r="K376" s="3"/>
      <c r="L376" s="6"/>
      <c r="M376" s="6"/>
      <c r="N376" s="6"/>
      <c r="O376" s="62">
        <v>33350</v>
      </c>
      <c r="P376" s="7" t="s">
        <v>269</v>
      </c>
      <c r="Q376" s="59">
        <v>26.22</v>
      </c>
      <c r="R376" s="59">
        <v>26.22</v>
      </c>
      <c r="S376" t="s">
        <v>433</v>
      </c>
      <c r="T376">
        <f t="shared" si="20"/>
        <v>752776.2</v>
      </c>
      <c r="U376">
        <f t="shared" si="21"/>
        <v>4640</v>
      </c>
      <c r="V376">
        <f t="shared" si="22"/>
        <v>874437</v>
      </c>
      <c r="W376">
        <f t="shared" si="23"/>
        <v>121660.80000000005</v>
      </c>
    </row>
    <row r="377" spans="1:23" x14ac:dyDescent="0.25">
      <c r="A377" s="204">
        <v>7203454549</v>
      </c>
      <c r="B377" s="204">
        <v>7203175930</v>
      </c>
      <c r="C377" s="126" t="s">
        <v>270</v>
      </c>
      <c r="D377" s="5">
        <v>6234000600</v>
      </c>
      <c r="E377" s="156">
        <v>44651</v>
      </c>
      <c r="F377" s="155">
        <v>28710</v>
      </c>
      <c r="G377" s="214" t="s">
        <v>1</v>
      </c>
      <c r="H377" s="6"/>
      <c r="I377" s="55">
        <v>0</v>
      </c>
      <c r="J377" s="59">
        <v>25.8</v>
      </c>
      <c r="K377" s="3"/>
      <c r="L377" s="6"/>
      <c r="M377" s="6"/>
      <c r="N377" s="6"/>
      <c r="O377" s="62">
        <v>33350</v>
      </c>
      <c r="P377" s="7" t="s">
        <v>269</v>
      </c>
      <c r="Q377" s="59">
        <v>25.8</v>
      </c>
      <c r="R377" s="59">
        <v>25.8</v>
      </c>
      <c r="S377" t="s">
        <v>433</v>
      </c>
      <c r="T377">
        <f t="shared" si="20"/>
        <v>740718</v>
      </c>
      <c r="U377">
        <f t="shared" si="21"/>
        <v>4640</v>
      </c>
      <c r="V377">
        <f t="shared" si="22"/>
        <v>860430</v>
      </c>
      <c r="W377">
        <f t="shared" si="23"/>
        <v>119712</v>
      </c>
    </row>
    <row r="378" spans="1:23" x14ac:dyDescent="0.25">
      <c r="A378" s="204">
        <v>7203454549</v>
      </c>
      <c r="B378" s="204">
        <v>7203175930</v>
      </c>
      <c r="C378" s="126" t="s">
        <v>270</v>
      </c>
      <c r="D378" s="5">
        <v>6234000600</v>
      </c>
      <c r="E378" s="156">
        <v>44651</v>
      </c>
      <c r="F378" s="155">
        <v>28710</v>
      </c>
      <c r="G378" s="214" t="s">
        <v>1</v>
      </c>
      <c r="H378" s="6"/>
      <c r="I378" s="55">
        <v>0</v>
      </c>
      <c r="J378" s="59">
        <v>25.78</v>
      </c>
      <c r="K378" s="3"/>
      <c r="L378" s="6"/>
      <c r="M378" s="6"/>
      <c r="N378" s="6"/>
      <c r="O378" s="62">
        <v>33350</v>
      </c>
      <c r="P378" s="7" t="s">
        <v>269</v>
      </c>
      <c r="Q378" s="59">
        <v>25.78</v>
      </c>
      <c r="R378" s="59">
        <v>25.78</v>
      </c>
      <c r="S378" t="s">
        <v>433</v>
      </c>
      <c r="T378">
        <f t="shared" si="20"/>
        <v>740143.8</v>
      </c>
      <c r="U378">
        <f t="shared" si="21"/>
        <v>4640</v>
      </c>
      <c r="V378">
        <f t="shared" si="22"/>
        <v>859763</v>
      </c>
      <c r="W378">
        <f t="shared" si="23"/>
        <v>119619.19999999995</v>
      </c>
    </row>
    <row r="379" spans="1:23" x14ac:dyDescent="0.25">
      <c r="A379" s="204">
        <v>7203454549</v>
      </c>
      <c r="B379" s="204">
        <v>7203175930</v>
      </c>
      <c r="C379" s="126" t="s">
        <v>270</v>
      </c>
      <c r="D379" s="5">
        <v>6234000600</v>
      </c>
      <c r="E379" s="156">
        <v>44652</v>
      </c>
      <c r="F379" s="155">
        <v>28710</v>
      </c>
      <c r="G379" s="214" t="s">
        <v>1</v>
      </c>
      <c r="H379" s="6"/>
      <c r="I379" s="55">
        <v>0</v>
      </c>
      <c r="J379" s="59">
        <v>25.44</v>
      </c>
      <c r="K379" s="3"/>
      <c r="L379" s="6"/>
      <c r="M379" s="6"/>
      <c r="N379" s="6"/>
      <c r="O379" s="62">
        <v>33350</v>
      </c>
      <c r="P379" s="7" t="s">
        <v>269</v>
      </c>
      <c r="Q379" s="59">
        <v>25.44</v>
      </c>
      <c r="R379" s="59">
        <v>25.44</v>
      </c>
      <c r="S379" t="s">
        <v>433</v>
      </c>
      <c r="T379">
        <f t="shared" si="20"/>
        <v>730382.4</v>
      </c>
      <c r="U379">
        <f t="shared" si="21"/>
        <v>4640</v>
      </c>
      <c r="V379">
        <f t="shared" si="22"/>
        <v>848424</v>
      </c>
      <c r="W379">
        <f t="shared" si="23"/>
        <v>118041.59999999998</v>
      </c>
    </row>
    <row r="380" spans="1:23" x14ac:dyDescent="0.25">
      <c r="A380" s="204">
        <v>7203454549</v>
      </c>
      <c r="B380" s="204">
        <v>7203175930</v>
      </c>
      <c r="C380" s="126" t="s">
        <v>270</v>
      </c>
      <c r="D380" s="5">
        <v>6234000600</v>
      </c>
      <c r="E380" s="156">
        <v>44652</v>
      </c>
      <c r="F380" s="155">
        <v>28710</v>
      </c>
      <c r="G380" s="214" t="s">
        <v>1</v>
      </c>
      <c r="H380" s="6"/>
      <c r="I380" s="55">
        <v>0</v>
      </c>
      <c r="J380" s="59">
        <v>25.42</v>
      </c>
      <c r="K380" s="3"/>
      <c r="L380" s="6"/>
      <c r="M380" s="6"/>
      <c r="N380" s="6"/>
      <c r="O380" s="62">
        <v>33350</v>
      </c>
      <c r="P380" s="7" t="s">
        <v>269</v>
      </c>
      <c r="Q380" s="59">
        <v>25.42</v>
      </c>
      <c r="R380" s="59">
        <v>25.42</v>
      </c>
      <c r="S380" t="s">
        <v>433</v>
      </c>
      <c r="T380">
        <f t="shared" si="20"/>
        <v>729808.20000000007</v>
      </c>
      <c r="U380">
        <f t="shared" si="21"/>
        <v>4640</v>
      </c>
      <c r="V380">
        <f t="shared" si="22"/>
        <v>847757</v>
      </c>
      <c r="W380">
        <f t="shared" si="23"/>
        <v>117948.79999999993</v>
      </c>
    </row>
    <row r="381" spans="1:23" x14ac:dyDescent="0.25">
      <c r="A381" s="204">
        <v>7203454549</v>
      </c>
      <c r="B381" s="204">
        <v>7203175930</v>
      </c>
      <c r="C381" s="126" t="s">
        <v>270</v>
      </c>
      <c r="D381" s="5">
        <v>6234000600</v>
      </c>
      <c r="E381" s="156">
        <v>44652</v>
      </c>
      <c r="F381" s="155">
        <v>28710</v>
      </c>
      <c r="G381" s="214" t="s">
        <v>1</v>
      </c>
      <c r="H381" s="6"/>
      <c r="I381" s="55">
        <v>0</v>
      </c>
      <c r="J381" s="59">
        <v>26.16</v>
      </c>
      <c r="K381" s="3"/>
      <c r="L381" s="6"/>
      <c r="M381" s="6"/>
      <c r="N381" s="6"/>
      <c r="O381" s="62">
        <v>33350</v>
      </c>
      <c r="P381" s="7" t="s">
        <v>269</v>
      </c>
      <c r="Q381" s="59">
        <v>26.16</v>
      </c>
      <c r="R381" s="59">
        <v>26.16</v>
      </c>
      <c r="S381" t="s">
        <v>433</v>
      </c>
      <c r="T381">
        <f t="shared" si="20"/>
        <v>751053.6</v>
      </c>
      <c r="U381">
        <f t="shared" si="21"/>
        <v>4640</v>
      </c>
      <c r="V381">
        <f t="shared" si="22"/>
        <v>872436</v>
      </c>
      <c r="W381">
        <f t="shared" si="23"/>
        <v>121382.40000000002</v>
      </c>
    </row>
    <row r="382" spans="1:23" x14ac:dyDescent="0.25">
      <c r="A382" s="204">
        <v>7203454549</v>
      </c>
      <c r="B382" s="204">
        <v>7203175930</v>
      </c>
      <c r="C382" s="126" t="s">
        <v>270</v>
      </c>
      <c r="D382" s="5">
        <v>6234000600</v>
      </c>
      <c r="E382" s="156">
        <v>44652</v>
      </c>
      <c r="F382" s="155">
        <v>28710</v>
      </c>
      <c r="G382" s="214" t="s">
        <v>1</v>
      </c>
      <c r="H382" s="6"/>
      <c r="I382" s="55">
        <v>0</v>
      </c>
      <c r="J382" s="59">
        <v>26.48</v>
      </c>
      <c r="K382" s="3"/>
      <c r="L382" s="6"/>
      <c r="M382" s="6"/>
      <c r="N382" s="6"/>
      <c r="O382" s="62">
        <v>33350</v>
      </c>
      <c r="P382" s="7" t="s">
        <v>269</v>
      </c>
      <c r="Q382" s="59">
        <v>26.48</v>
      </c>
      <c r="R382" s="59">
        <v>26.48</v>
      </c>
      <c r="S382" t="s">
        <v>433</v>
      </c>
      <c r="T382">
        <f t="shared" si="20"/>
        <v>760240.8</v>
      </c>
      <c r="U382">
        <f t="shared" si="21"/>
        <v>4640</v>
      </c>
      <c r="V382">
        <f t="shared" si="22"/>
        <v>883108</v>
      </c>
      <c r="W382">
        <f t="shared" si="23"/>
        <v>122867.19999999995</v>
      </c>
    </row>
    <row r="383" spans="1:23" x14ac:dyDescent="0.25">
      <c r="A383" s="204">
        <v>7203454549</v>
      </c>
      <c r="B383" s="204">
        <v>7203175930</v>
      </c>
      <c r="C383" s="126" t="s">
        <v>270</v>
      </c>
      <c r="D383" s="5">
        <v>6234000600</v>
      </c>
      <c r="E383" s="156">
        <v>44652</v>
      </c>
      <c r="F383" s="155">
        <v>28710</v>
      </c>
      <c r="G383" s="214" t="s">
        <v>1</v>
      </c>
      <c r="H383" s="6"/>
      <c r="I383" s="55">
        <v>0</v>
      </c>
      <c r="J383" s="59">
        <v>25.74</v>
      </c>
      <c r="K383" s="3"/>
      <c r="L383" s="6"/>
      <c r="M383" s="6"/>
      <c r="N383" s="6"/>
      <c r="O383" s="62">
        <v>33350</v>
      </c>
      <c r="P383" s="7" t="s">
        <v>269</v>
      </c>
      <c r="Q383" s="59">
        <v>25.74</v>
      </c>
      <c r="R383" s="59">
        <v>25.74</v>
      </c>
      <c r="S383" t="s">
        <v>433</v>
      </c>
      <c r="T383">
        <f t="shared" si="20"/>
        <v>738995.39999999991</v>
      </c>
      <c r="U383">
        <f t="shared" si="21"/>
        <v>4640</v>
      </c>
      <c r="V383">
        <f t="shared" si="22"/>
        <v>858429</v>
      </c>
      <c r="W383">
        <f t="shared" si="23"/>
        <v>119433.60000000009</v>
      </c>
    </row>
    <row r="384" spans="1:23" x14ac:dyDescent="0.25">
      <c r="A384" s="204">
        <v>7203454549</v>
      </c>
      <c r="B384" s="204">
        <v>7203175930</v>
      </c>
      <c r="C384" s="126" t="s">
        <v>270</v>
      </c>
      <c r="D384" s="5">
        <v>6234000600</v>
      </c>
      <c r="E384" s="156">
        <v>44655</v>
      </c>
      <c r="F384" s="155">
        <v>28710</v>
      </c>
      <c r="G384" s="214" t="s">
        <v>1</v>
      </c>
      <c r="H384" s="6"/>
      <c r="I384" s="55">
        <v>0</v>
      </c>
      <c r="J384" s="60">
        <v>25.8</v>
      </c>
      <c r="K384" s="3"/>
      <c r="L384" s="6"/>
      <c r="M384" s="6"/>
      <c r="N384" s="6"/>
      <c r="O384" s="62">
        <v>33350</v>
      </c>
      <c r="P384" s="7" t="s">
        <v>269</v>
      </c>
      <c r="Q384" s="60">
        <v>25.8</v>
      </c>
      <c r="R384" s="60">
        <v>25.8</v>
      </c>
      <c r="S384" t="s">
        <v>433</v>
      </c>
      <c r="T384">
        <f t="shared" si="20"/>
        <v>740718</v>
      </c>
      <c r="U384">
        <f t="shared" si="21"/>
        <v>4640</v>
      </c>
      <c r="V384">
        <f t="shared" si="22"/>
        <v>860430</v>
      </c>
      <c r="W384">
        <f t="shared" si="23"/>
        <v>119712</v>
      </c>
    </row>
    <row r="385" spans="1:23" x14ac:dyDescent="0.25">
      <c r="A385" s="204">
        <v>7203454549</v>
      </c>
      <c r="B385" s="204">
        <v>7203175930</v>
      </c>
      <c r="C385" s="126" t="s">
        <v>270</v>
      </c>
      <c r="D385" s="5">
        <v>6234000600</v>
      </c>
      <c r="E385" s="156">
        <v>44655</v>
      </c>
      <c r="F385" s="155">
        <v>28710</v>
      </c>
      <c r="G385" s="214" t="s">
        <v>1</v>
      </c>
      <c r="H385" s="6"/>
      <c r="I385" s="55">
        <v>0</v>
      </c>
      <c r="J385" s="60">
        <v>24.26</v>
      </c>
      <c r="K385" s="3"/>
      <c r="L385" s="6"/>
      <c r="M385" s="6"/>
      <c r="N385" s="6"/>
      <c r="O385" s="62">
        <v>33350</v>
      </c>
      <c r="P385" s="7" t="s">
        <v>269</v>
      </c>
      <c r="Q385" s="60">
        <v>24.26</v>
      </c>
      <c r="R385" s="60">
        <v>24.26</v>
      </c>
      <c r="S385" t="s">
        <v>433</v>
      </c>
      <c r="T385">
        <f t="shared" si="20"/>
        <v>696504.60000000009</v>
      </c>
      <c r="U385">
        <f t="shared" si="21"/>
        <v>4640</v>
      </c>
      <c r="V385">
        <f t="shared" si="22"/>
        <v>809071</v>
      </c>
      <c r="W385">
        <f t="shared" si="23"/>
        <v>112566.39999999991</v>
      </c>
    </row>
    <row r="386" spans="1:23" x14ac:dyDescent="0.25">
      <c r="A386" s="204">
        <v>7203454549</v>
      </c>
      <c r="B386" s="204">
        <v>7203175930</v>
      </c>
      <c r="C386" s="126" t="s">
        <v>270</v>
      </c>
      <c r="D386" s="5">
        <v>6234000600</v>
      </c>
      <c r="E386" s="156">
        <v>44655</v>
      </c>
      <c r="F386" s="155">
        <v>28710</v>
      </c>
      <c r="G386" s="214" t="s">
        <v>1</v>
      </c>
      <c r="H386" s="6"/>
      <c r="I386" s="55">
        <v>0</v>
      </c>
      <c r="J386" s="60">
        <v>25.92</v>
      </c>
      <c r="K386" s="3"/>
      <c r="L386" s="6"/>
      <c r="M386" s="6"/>
      <c r="N386" s="6"/>
      <c r="O386" s="62">
        <v>33350</v>
      </c>
      <c r="P386" s="7" t="s">
        <v>269</v>
      </c>
      <c r="Q386" s="60">
        <v>25.92</v>
      </c>
      <c r="R386" s="60">
        <v>25.92</v>
      </c>
      <c r="S386" t="s">
        <v>433</v>
      </c>
      <c r="T386">
        <f t="shared" si="20"/>
        <v>744163.20000000007</v>
      </c>
      <c r="U386">
        <f t="shared" si="21"/>
        <v>4640</v>
      </c>
      <c r="V386">
        <f t="shared" si="22"/>
        <v>864432</v>
      </c>
      <c r="W386">
        <f t="shared" si="23"/>
        <v>120268.79999999993</v>
      </c>
    </row>
    <row r="387" spans="1:23" x14ac:dyDescent="0.25">
      <c r="A387" s="204">
        <v>7203454549</v>
      </c>
      <c r="B387" s="204">
        <v>7203175930</v>
      </c>
      <c r="C387" s="126" t="s">
        <v>270</v>
      </c>
      <c r="D387" s="5">
        <v>6234000600</v>
      </c>
      <c r="E387" s="156">
        <v>44655</v>
      </c>
      <c r="F387" s="155">
        <v>28710</v>
      </c>
      <c r="G387" s="214" t="s">
        <v>1</v>
      </c>
      <c r="H387" s="6"/>
      <c r="I387" s="55">
        <v>0</v>
      </c>
      <c r="J387" s="60">
        <v>26.04</v>
      </c>
      <c r="K387" s="3"/>
      <c r="L387" s="6"/>
      <c r="M387" s="6"/>
      <c r="N387" s="6"/>
      <c r="O387" s="62">
        <v>33350</v>
      </c>
      <c r="P387" s="7" t="s">
        <v>269</v>
      </c>
      <c r="Q387" s="60">
        <v>26.04</v>
      </c>
      <c r="R387" s="60">
        <v>26.04</v>
      </c>
      <c r="S387" t="s">
        <v>433</v>
      </c>
      <c r="T387">
        <f t="shared" ref="T387:T450" si="24">(I387+F387)*J387</f>
        <v>747608.4</v>
      </c>
      <c r="U387">
        <f t="shared" ref="U387:U450" si="25">O387-(F387+I387)</f>
        <v>4640</v>
      </c>
      <c r="V387">
        <f t="shared" ref="V387:V450" si="26">O387*J387</f>
        <v>868434</v>
      </c>
      <c r="W387">
        <f t="shared" ref="W387:W450" si="27">V387-T387</f>
        <v>120825.59999999998</v>
      </c>
    </row>
    <row r="388" spans="1:23" x14ac:dyDescent="0.25">
      <c r="A388" s="204">
        <v>7203454549</v>
      </c>
      <c r="B388" s="204">
        <v>7203175930</v>
      </c>
      <c r="C388" s="126" t="s">
        <v>270</v>
      </c>
      <c r="D388" s="5">
        <v>6234000600</v>
      </c>
      <c r="E388" s="156">
        <v>44655</v>
      </c>
      <c r="F388" s="155">
        <v>28710</v>
      </c>
      <c r="G388" s="214" t="s">
        <v>1</v>
      </c>
      <c r="H388" s="6"/>
      <c r="I388" s="55">
        <v>0</v>
      </c>
      <c r="J388" s="60">
        <v>26.58</v>
      </c>
      <c r="K388" s="3"/>
      <c r="L388" s="6"/>
      <c r="M388" s="6"/>
      <c r="N388" s="6"/>
      <c r="O388" s="62">
        <v>33350</v>
      </c>
      <c r="P388" s="7" t="s">
        <v>269</v>
      </c>
      <c r="Q388" s="60">
        <v>26.58</v>
      </c>
      <c r="R388" s="60">
        <v>26.58</v>
      </c>
      <c r="S388" t="s">
        <v>433</v>
      </c>
      <c r="T388">
        <f t="shared" si="24"/>
        <v>763111.79999999993</v>
      </c>
      <c r="U388">
        <f t="shared" si="25"/>
        <v>4640</v>
      </c>
      <c r="V388">
        <f t="shared" si="26"/>
        <v>886443</v>
      </c>
      <c r="W388">
        <f t="shared" si="27"/>
        <v>123331.20000000007</v>
      </c>
    </row>
    <row r="389" spans="1:23" x14ac:dyDescent="0.25">
      <c r="A389" s="204">
        <v>7203454549</v>
      </c>
      <c r="B389" s="204">
        <v>7203175930</v>
      </c>
      <c r="C389" s="126" t="s">
        <v>270</v>
      </c>
      <c r="D389" s="5">
        <v>6234000600</v>
      </c>
      <c r="E389" s="156">
        <v>44656</v>
      </c>
      <c r="F389" s="155">
        <v>28710</v>
      </c>
      <c r="G389" s="214" t="s">
        <v>1</v>
      </c>
      <c r="H389" s="6"/>
      <c r="I389" s="55">
        <v>0</v>
      </c>
      <c r="J389" s="60">
        <v>23.94</v>
      </c>
      <c r="K389" s="3"/>
      <c r="L389" s="6"/>
      <c r="M389" s="6"/>
      <c r="N389" s="6"/>
      <c r="O389" s="62">
        <v>33350</v>
      </c>
      <c r="P389" s="7" t="s">
        <v>269</v>
      </c>
      <c r="Q389" s="60">
        <v>23.94</v>
      </c>
      <c r="R389" s="60">
        <v>23.94</v>
      </c>
      <c r="S389" t="s">
        <v>433</v>
      </c>
      <c r="T389">
        <f t="shared" si="24"/>
        <v>687317.4</v>
      </c>
      <c r="U389">
        <f t="shared" si="25"/>
        <v>4640</v>
      </c>
      <c r="V389">
        <f t="shared" si="26"/>
        <v>798399</v>
      </c>
      <c r="W389">
        <f t="shared" si="27"/>
        <v>111081.59999999998</v>
      </c>
    </row>
    <row r="390" spans="1:23" x14ac:dyDescent="0.25">
      <c r="A390" s="204">
        <v>7203454549</v>
      </c>
      <c r="B390" s="204">
        <v>7203175930</v>
      </c>
      <c r="C390" s="126" t="s">
        <v>270</v>
      </c>
      <c r="D390" s="5">
        <v>6234000600</v>
      </c>
      <c r="E390" s="156">
        <v>44656</v>
      </c>
      <c r="F390" s="155">
        <v>28710</v>
      </c>
      <c r="G390" s="214" t="s">
        <v>1</v>
      </c>
      <c r="H390" s="6"/>
      <c r="I390" s="55">
        <v>0</v>
      </c>
      <c r="J390" s="60">
        <v>26.06</v>
      </c>
      <c r="K390" s="3"/>
      <c r="L390" s="6"/>
      <c r="M390" s="6"/>
      <c r="N390" s="6"/>
      <c r="O390" s="62">
        <v>33350</v>
      </c>
      <c r="P390" s="7" t="s">
        <v>269</v>
      </c>
      <c r="Q390" s="60">
        <v>26.06</v>
      </c>
      <c r="R390" s="60">
        <v>26.06</v>
      </c>
      <c r="S390" t="s">
        <v>433</v>
      </c>
      <c r="T390">
        <f t="shared" si="24"/>
        <v>748182.6</v>
      </c>
      <c r="U390">
        <f t="shared" si="25"/>
        <v>4640</v>
      </c>
      <c r="V390">
        <f t="shared" si="26"/>
        <v>869101</v>
      </c>
      <c r="W390">
        <f t="shared" si="27"/>
        <v>120918.40000000002</v>
      </c>
    </row>
    <row r="391" spans="1:23" x14ac:dyDescent="0.25">
      <c r="A391" s="204">
        <v>7203454549</v>
      </c>
      <c r="B391" s="204">
        <v>7203175930</v>
      </c>
      <c r="C391" s="126" t="s">
        <v>270</v>
      </c>
      <c r="D391" s="5">
        <v>6234000600</v>
      </c>
      <c r="E391" s="156">
        <v>44656</v>
      </c>
      <c r="F391" s="155">
        <v>28710</v>
      </c>
      <c r="G391" s="214" t="s">
        <v>1</v>
      </c>
      <c r="H391" s="24"/>
      <c r="I391" s="55">
        <v>0</v>
      </c>
      <c r="J391" s="60">
        <v>24.9</v>
      </c>
      <c r="K391" s="3"/>
      <c r="L391" s="6"/>
      <c r="M391" s="6"/>
      <c r="N391" s="6"/>
      <c r="O391" s="62">
        <v>33350</v>
      </c>
      <c r="P391" s="7" t="s">
        <v>269</v>
      </c>
      <c r="Q391" s="60">
        <v>24.9</v>
      </c>
      <c r="R391" s="60">
        <v>24.9</v>
      </c>
      <c r="S391" t="s">
        <v>433</v>
      </c>
      <c r="T391">
        <f t="shared" si="24"/>
        <v>714879</v>
      </c>
      <c r="U391">
        <f t="shared" si="25"/>
        <v>4640</v>
      </c>
      <c r="V391">
        <f t="shared" si="26"/>
        <v>830415</v>
      </c>
      <c r="W391">
        <f t="shared" si="27"/>
        <v>115536</v>
      </c>
    </row>
    <row r="392" spans="1:23" x14ac:dyDescent="0.25">
      <c r="A392" s="204">
        <v>7203454549</v>
      </c>
      <c r="B392" s="204">
        <v>7203175930</v>
      </c>
      <c r="C392" s="126" t="s">
        <v>270</v>
      </c>
      <c r="D392" s="5">
        <v>6234000600</v>
      </c>
      <c r="E392" s="156">
        <v>44656</v>
      </c>
      <c r="F392" s="155">
        <v>28710</v>
      </c>
      <c r="G392" s="214" t="s">
        <v>1</v>
      </c>
      <c r="H392" s="24"/>
      <c r="I392" s="55">
        <v>0</v>
      </c>
      <c r="J392" s="60">
        <v>25.68</v>
      </c>
      <c r="K392" s="3"/>
      <c r="L392" s="6"/>
      <c r="M392" s="6"/>
      <c r="N392" s="6"/>
      <c r="O392" s="62">
        <v>33350</v>
      </c>
      <c r="P392" s="7" t="s">
        <v>269</v>
      </c>
      <c r="Q392" s="60">
        <v>25.68</v>
      </c>
      <c r="R392" s="60">
        <v>25.68</v>
      </c>
      <c r="S392" t="s">
        <v>433</v>
      </c>
      <c r="T392">
        <f t="shared" si="24"/>
        <v>737272.8</v>
      </c>
      <c r="U392">
        <f t="shared" si="25"/>
        <v>4640</v>
      </c>
      <c r="V392">
        <f t="shared" si="26"/>
        <v>856428</v>
      </c>
      <c r="W392">
        <f t="shared" si="27"/>
        <v>119155.19999999995</v>
      </c>
    </row>
    <row r="393" spans="1:23" x14ac:dyDescent="0.25">
      <c r="A393" s="204">
        <v>7203454549</v>
      </c>
      <c r="B393" s="204">
        <v>7203175930</v>
      </c>
      <c r="C393" s="126" t="s">
        <v>276</v>
      </c>
      <c r="D393" s="5">
        <v>6234000600</v>
      </c>
      <c r="E393" s="156">
        <v>44651</v>
      </c>
      <c r="F393" s="155">
        <v>28626</v>
      </c>
      <c r="G393" s="214" t="s">
        <v>1</v>
      </c>
      <c r="H393" s="67"/>
      <c r="I393" s="68">
        <v>0</v>
      </c>
      <c r="J393" s="63">
        <v>24.08</v>
      </c>
      <c r="K393" s="3"/>
      <c r="L393" s="6"/>
      <c r="M393" s="6"/>
      <c r="N393" s="6"/>
      <c r="O393" s="69">
        <v>33250</v>
      </c>
      <c r="P393" s="66" t="s">
        <v>269</v>
      </c>
      <c r="Q393" s="64">
        <v>24.08</v>
      </c>
      <c r="R393" s="65">
        <v>24.08</v>
      </c>
      <c r="S393" t="s">
        <v>433</v>
      </c>
      <c r="T393">
        <f t="shared" si="24"/>
        <v>689314.08</v>
      </c>
      <c r="U393">
        <f t="shared" si="25"/>
        <v>4624</v>
      </c>
      <c r="V393">
        <f t="shared" si="26"/>
        <v>800660</v>
      </c>
      <c r="W393">
        <f t="shared" si="27"/>
        <v>111345.92000000004</v>
      </c>
    </row>
    <row r="394" spans="1:23" x14ac:dyDescent="0.25">
      <c r="A394" s="204">
        <v>7203454549</v>
      </c>
      <c r="B394" s="204">
        <v>7203175930</v>
      </c>
      <c r="C394" s="126" t="s">
        <v>276</v>
      </c>
      <c r="D394" s="5">
        <v>6234000600</v>
      </c>
      <c r="E394" s="156">
        <v>44651</v>
      </c>
      <c r="F394" s="155">
        <v>28626</v>
      </c>
      <c r="G394" s="214" t="s">
        <v>1</v>
      </c>
      <c r="H394" s="67"/>
      <c r="I394" s="68">
        <v>0</v>
      </c>
      <c r="J394" s="63">
        <v>26.26</v>
      </c>
      <c r="K394" s="3"/>
      <c r="L394" s="6"/>
      <c r="M394" s="6"/>
      <c r="N394" s="6"/>
      <c r="O394" s="69">
        <v>33250</v>
      </c>
      <c r="P394" s="66" t="s">
        <v>269</v>
      </c>
      <c r="Q394" s="64">
        <v>26.26</v>
      </c>
      <c r="R394" s="65">
        <v>26.26</v>
      </c>
      <c r="S394" t="s">
        <v>433</v>
      </c>
      <c r="T394">
        <f t="shared" si="24"/>
        <v>751718.76</v>
      </c>
      <c r="U394">
        <f t="shared" si="25"/>
        <v>4624</v>
      </c>
      <c r="V394">
        <f t="shared" si="26"/>
        <v>873145</v>
      </c>
      <c r="W394">
        <f t="shared" si="27"/>
        <v>121426.23999999999</v>
      </c>
    </row>
    <row r="395" spans="1:23" x14ac:dyDescent="0.25">
      <c r="A395" s="204">
        <v>7203454549</v>
      </c>
      <c r="B395" s="204">
        <v>7203175930</v>
      </c>
      <c r="C395" s="126" t="s">
        <v>276</v>
      </c>
      <c r="D395" s="5">
        <v>6234000600</v>
      </c>
      <c r="E395" s="156">
        <v>44651</v>
      </c>
      <c r="F395" s="155">
        <v>28626</v>
      </c>
      <c r="G395" s="214" t="s">
        <v>1</v>
      </c>
      <c r="H395" s="67"/>
      <c r="I395" s="68">
        <v>0</v>
      </c>
      <c r="J395" s="63">
        <v>25.28</v>
      </c>
      <c r="K395" s="3"/>
      <c r="L395" s="6"/>
      <c r="M395" s="6"/>
      <c r="N395" s="6"/>
      <c r="O395" s="69">
        <v>33250</v>
      </c>
      <c r="P395" s="66" t="s">
        <v>269</v>
      </c>
      <c r="Q395" s="64">
        <v>25.28</v>
      </c>
      <c r="R395" s="65">
        <v>25.28</v>
      </c>
      <c r="S395" t="s">
        <v>433</v>
      </c>
      <c r="T395">
        <f t="shared" si="24"/>
        <v>723665.28</v>
      </c>
      <c r="U395">
        <f t="shared" si="25"/>
        <v>4624</v>
      </c>
      <c r="V395">
        <f t="shared" si="26"/>
        <v>840560</v>
      </c>
      <c r="W395">
        <f t="shared" si="27"/>
        <v>116894.71999999997</v>
      </c>
    </row>
    <row r="396" spans="1:23" x14ac:dyDescent="0.25">
      <c r="A396" s="204">
        <v>7203454549</v>
      </c>
      <c r="B396" s="204">
        <v>7203175930</v>
      </c>
      <c r="C396" s="126" t="s">
        <v>276</v>
      </c>
      <c r="D396" s="5">
        <v>6234000600</v>
      </c>
      <c r="E396" s="156">
        <v>44651</v>
      </c>
      <c r="F396" s="155">
        <v>28626</v>
      </c>
      <c r="G396" s="214" t="s">
        <v>1</v>
      </c>
      <c r="H396" s="67"/>
      <c r="I396" s="68">
        <v>0</v>
      </c>
      <c r="J396" s="63">
        <v>23.88</v>
      </c>
      <c r="K396" s="3"/>
      <c r="L396" s="6"/>
      <c r="M396" s="6"/>
      <c r="N396" s="6"/>
      <c r="O396" s="69">
        <v>33250</v>
      </c>
      <c r="P396" s="66" t="s">
        <v>269</v>
      </c>
      <c r="Q396" s="64">
        <v>23.88</v>
      </c>
      <c r="R396" s="65">
        <v>23.88</v>
      </c>
      <c r="S396" t="s">
        <v>433</v>
      </c>
      <c r="T396">
        <f t="shared" si="24"/>
        <v>683588.88</v>
      </c>
      <c r="U396">
        <f t="shared" si="25"/>
        <v>4624</v>
      </c>
      <c r="V396">
        <f t="shared" si="26"/>
        <v>794010</v>
      </c>
      <c r="W396">
        <f t="shared" si="27"/>
        <v>110421.12</v>
      </c>
    </row>
    <row r="397" spans="1:23" x14ac:dyDescent="0.25">
      <c r="A397" s="204">
        <v>7203454549</v>
      </c>
      <c r="B397" s="204">
        <v>7203175930</v>
      </c>
      <c r="C397" s="126" t="s">
        <v>276</v>
      </c>
      <c r="D397" s="5">
        <v>6234000600</v>
      </c>
      <c r="E397" s="156">
        <v>44651</v>
      </c>
      <c r="F397" s="155">
        <v>28626</v>
      </c>
      <c r="G397" s="214" t="s">
        <v>1</v>
      </c>
      <c r="H397" s="67"/>
      <c r="I397" s="68">
        <v>0</v>
      </c>
      <c r="J397" s="63">
        <v>24</v>
      </c>
      <c r="K397" s="3"/>
      <c r="L397" s="6"/>
      <c r="M397" s="6"/>
      <c r="N397" s="6"/>
      <c r="O397" s="69">
        <v>33250</v>
      </c>
      <c r="P397" s="66" t="s">
        <v>269</v>
      </c>
      <c r="Q397" s="64">
        <v>24</v>
      </c>
      <c r="R397" s="65">
        <v>24</v>
      </c>
      <c r="S397" t="s">
        <v>433</v>
      </c>
      <c r="T397">
        <f t="shared" si="24"/>
        <v>687024</v>
      </c>
      <c r="U397">
        <f t="shared" si="25"/>
        <v>4624</v>
      </c>
      <c r="V397">
        <f t="shared" si="26"/>
        <v>798000</v>
      </c>
      <c r="W397">
        <f t="shared" si="27"/>
        <v>110976</v>
      </c>
    </row>
    <row r="398" spans="1:23" x14ac:dyDescent="0.25">
      <c r="A398" s="204">
        <v>7203454549</v>
      </c>
      <c r="B398" s="204">
        <v>7203175930</v>
      </c>
      <c r="C398" s="126" t="s">
        <v>276</v>
      </c>
      <c r="D398" s="5">
        <v>6234000600</v>
      </c>
      <c r="E398" s="156">
        <v>44651</v>
      </c>
      <c r="F398" s="155">
        <v>28626</v>
      </c>
      <c r="G398" s="214" t="s">
        <v>1</v>
      </c>
      <c r="H398" s="67"/>
      <c r="I398" s="68">
        <v>0</v>
      </c>
      <c r="J398" s="63">
        <v>24.1</v>
      </c>
      <c r="K398" s="3"/>
      <c r="L398" s="6"/>
      <c r="M398" s="6"/>
      <c r="N398" s="6"/>
      <c r="O398" s="69">
        <v>33250</v>
      </c>
      <c r="P398" s="66" t="s">
        <v>269</v>
      </c>
      <c r="Q398" s="64">
        <v>24.1</v>
      </c>
      <c r="R398" s="65">
        <v>24.1</v>
      </c>
      <c r="S398" t="s">
        <v>433</v>
      </c>
      <c r="T398">
        <f t="shared" si="24"/>
        <v>689886.60000000009</v>
      </c>
      <c r="U398">
        <f t="shared" si="25"/>
        <v>4624</v>
      </c>
      <c r="V398">
        <f t="shared" si="26"/>
        <v>801325</v>
      </c>
      <c r="W398">
        <f t="shared" si="27"/>
        <v>111438.39999999991</v>
      </c>
    </row>
    <row r="399" spans="1:23" x14ac:dyDescent="0.25">
      <c r="A399" s="204">
        <v>7203454549</v>
      </c>
      <c r="B399" s="204">
        <v>7203175930</v>
      </c>
      <c r="C399" s="126" t="s">
        <v>276</v>
      </c>
      <c r="D399" s="5">
        <v>6234000600</v>
      </c>
      <c r="E399" s="156">
        <v>44651</v>
      </c>
      <c r="F399" s="155">
        <v>28626</v>
      </c>
      <c r="G399" s="214" t="s">
        <v>1</v>
      </c>
      <c r="H399" s="67"/>
      <c r="I399" s="68">
        <v>0</v>
      </c>
      <c r="J399" s="63">
        <v>25.88</v>
      </c>
      <c r="K399" s="3"/>
      <c r="L399" s="6"/>
      <c r="M399" s="6"/>
      <c r="N399" s="6"/>
      <c r="O399" s="69">
        <v>33250</v>
      </c>
      <c r="P399" s="66" t="s">
        <v>269</v>
      </c>
      <c r="Q399" s="64">
        <v>25.88</v>
      </c>
      <c r="R399" s="65">
        <v>25.88</v>
      </c>
      <c r="S399" t="s">
        <v>433</v>
      </c>
      <c r="T399">
        <f t="shared" si="24"/>
        <v>740840.88</v>
      </c>
      <c r="U399">
        <f t="shared" si="25"/>
        <v>4624</v>
      </c>
      <c r="V399">
        <f t="shared" si="26"/>
        <v>860510</v>
      </c>
      <c r="W399">
        <f t="shared" si="27"/>
        <v>119669.12</v>
      </c>
    </row>
    <row r="400" spans="1:23" x14ac:dyDescent="0.25">
      <c r="A400" s="204">
        <v>7203454549</v>
      </c>
      <c r="B400" s="204">
        <v>7203175930</v>
      </c>
      <c r="C400" s="126" t="s">
        <v>276</v>
      </c>
      <c r="D400" s="5">
        <v>6234000600</v>
      </c>
      <c r="E400" s="156">
        <v>44652</v>
      </c>
      <c r="F400" s="155">
        <v>28626</v>
      </c>
      <c r="G400" s="214" t="s">
        <v>1</v>
      </c>
      <c r="H400" s="67"/>
      <c r="I400" s="68">
        <v>0</v>
      </c>
      <c r="J400" s="63">
        <v>26.02</v>
      </c>
      <c r="K400" s="3"/>
      <c r="L400" s="6"/>
      <c r="M400" s="6"/>
      <c r="N400" s="6"/>
      <c r="O400" s="69">
        <v>33250</v>
      </c>
      <c r="P400" s="66" t="s">
        <v>269</v>
      </c>
      <c r="Q400" s="64">
        <v>26.02</v>
      </c>
      <c r="R400" s="65">
        <v>26.02</v>
      </c>
      <c r="S400" t="s">
        <v>433</v>
      </c>
      <c r="T400">
        <f t="shared" si="24"/>
        <v>744848.52</v>
      </c>
      <c r="U400">
        <f t="shared" si="25"/>
        <v>4624</v>
      </c>
      <c r="V400">
        <f t="shared" si="26"/>
        <v>865165</v>
      </c>
      <c r="W400">
        <f t="shared" si="27"/>
        <v>120316.47999999998</v>
      </c>
    </row>
    <row r="401" spans="1:23" x14ac:dyDescent="0.25">
      <c r="A401" s="204">
        <v>7203454549</v>
      </c>
      <c r="B401" s="204">
        <v>7203175930</v>
      </c>
      <c r="C401" s="126" t="s">
        <v>276</v>
      </c>
      <c r="D401" s="5">
        <v>6234000600</v>
      </c>
      <c r="E401" s="156">
        <v>44652</v>
      </c>
      <c r="F401" s="155">
        <v>28626</v>
      </c>
      <c r="G401" s="214" t="s">
        <v>1</v>
      </c>
      <c r="H401" s="67"/>
      <c r="I401" s="68">
        <v>0</v>
      </c>
      <c r="J401" s="63">
        <v>26.06</v>
      </c>
      <c r="K401" s="3"/>
      <c r="L401" s="6"/>
      <c r="M401" s="6"/>
      <c r="N401" s="6"/>
      <c r="O401" s="69">
        <v>33250</v>
      </c>
      <c r="P401" s="66" t="s">
        <v>269</v>
      </c>
      <c r="Q401" s="64">
        <v>26.06</v>
      </c>
      <c r="R401" s="65">
        <v>26.06</v>
      </c>
      <c r="S401" t="s">
        <v>433</v>
      </c>
      <c r="T401">
        <f t="shared" si="24"/>
        <v>745993.55999999994</v>
      </c>
      <c r="U401">
        <f t="shared" si="25"/>
        <v>4624</v>
      </c>
      <c r="V401">
        <f t="shared" si="26"/>
        <v>866495</v>
      </c>
      <c r="W401">
        <f t="shared" si="27"/>
        <v>120501.44000000006</v>
      </c>
    </row>
    <row r="402" spans="1:23" x14ac:dyDescent="0.25">
      <c r="A402" s="204">
        <v>7203454549</v>
      </c>
      <c r="B402" s="204">
        <v>7203175930</v>
      </c>
      <c r="C402" s="126" t="s">
        <v>276</v>
      </c>
      <c r="D402" s="5">
        <v>6234000600</v>
      </c>
      <c r="E402" s="156">
        <v>44652</v>
      </c>
      <c r="F402" s="155">
        <v>28626</v>
      </c>
      <c r="G402" s="214" t="s">
        <v>1</v>
      </c>
      <c r="H402" s="67"/>
      <c r="I402" s="68">
        <v>0</v>
      </c>
      <c r="J402" s="63">
        <v>26.76</v>
      </c>
      <c r="K402" s="3"/>
      <c r="L402" s="6"/>
      <c r="M402" s="6"/>
      <c r="N402" s="6"/>
      <c r="O402" s="69">
        <v>33250</v>
      </c>
      <c r="P402" s="66" t="s">
        <v>269</v>
      </c>
      <c r="Q402" s="64">
        <v>26.76</v>
      </c>
      <c r="R402" s="65">
        <v>26.76</v>
      </c>
      <c r="S402" t="s">
        <v>433</v>
      </c>
      <c r="T402">
        <f t="shared" si="24"/>
        <v>766031.76</v>
      </c>
      <c r="U402">
        <f t="shared" si="25"/>
        <v>4624</v>
      </c>
      <c r="V402">
        <f t="shared" si="26"/>
        <v>889770</v>
      </c>
      <c r="W402">
        <f t="shared" si="27"/>
        <v>123738.23999999999</v>
      </c>
    </row>
    <row r="403" spans="1:23" x14ac:dyDescent="0.25">
      <c r="A403" s="204">
        <v>7203454549</v>
      </c>
      <c r="B403" s="204">
        <v>7203175930</v>
      </c>
      <c r="C403" s="126" t="s">
        <v>276</v>
      </c>
      <c r="D403" s="5">
        <v>6234000600</v>
      </c>
      <c r="E403" s="156">
        <v>44652</v>
      </c>
      <c r="F403" s="155">
        <v>28626</v>
      </c>
      <c r="G403" s="214" t="s">
        <v>1</v>
      </c>
      <c r="H403" s="67"/>
      <c r="I403" s="68">
        <v>0</v>
      </c>
      <c r="J403" s="63">
        <v>26.06</v>
      </c>
      <c r="K403" s="3"/>
      <c r="L403" s="6"/>
      <c r="M403" s="6"/>
      <c r="N403" s="6"/>
      <c r="O403" s="69">
        <v>33250</v>
      </c>
      <c r="P403" s="66" t="s">
        <v>269</v>
      </c>
      <c r="Q403" s="64">
        <v>26.06</v>
      </c>
      <c r="R403" s="65">
        <v>26.06</v>
      </c>
      <c r="S403" t="s">
        <v>433</v>
      </c>
      <c r="T403">
        <f t="shared" si="24"/>
        <v>745993.55999999994</v>
      </c>
      <c r="U403">
        <f t="shared" si="25"/>
        <v>4624</v>
      </c>
      <c r="V403">
        <f t="shared" si="26"/>
        <v>866495</v>
      </c>
      <c r="W403">
        <f t="shared" si="27"/>
        <v>120501.44000000006</v>
      </c>
    </row>
    <row r="404" spans="1:23" x14ac:dyDescent="0.25">
      <c r="A404" s="204">
        <v>7203454549</v>
      </c>
      <c r="B404" s="204">
        <v>7203175930</v>
      </c>
      <c r="C404" s="126" t="s">
        <v>276</v>
      </c>
      <c r="D404" s="5">
        <v>6234000600</v>
      </c>
      <c r="E404" s="156">
        <v>44652</v>
      </c>
      <c r="F404" s="155">
        <v>28626</v>
      </c>
      <c r="G404" s="214" t="s">
        <v>1</v>
      </c>
      <c r="H404" s="67"/>
      <c r="I404" s="68">
        <v>0</v>
      </c>
      <c r="J404" s="63">
        <v>25.56</v>
      </c>
      <c r="K404" s="3"/>
      <c r="L404" s="6"/>
      <c r="M404" s="6"/>
      <c r="N404" s="6"/>
      <c r="O404" s="69">
        <v>33250</v>
      </c>
      <c r="P404" s="66" t="s">
        <v>269</v>
      </c>
      <c r="Q404" s="64">
        <v>25.56</v>
      </c>
      <c r="R404" s="65">
        <v>25.56</v>
      </c>
      <c r="S404" t="s">
        <v>433</v>
      </c>
      <c r="T404">
        <f t="shared" si="24"/>
        <v>731680.55999999994</v>
      </c>
      <c r="U404">
        <f t="shared" si="25"/>
        <v>4624</v>
      </c>
      <c r="V404">
        <f t="shared" si="26"/>
        <v>849870</v>
      </c>
      <c r="W404">
        <f t="shared" si="27"/>
        <v>118189.44000000006</v>
      </c>
    </row>
    <row r="405" spans="1:23" x14ac:dyDescent="0.25">
      <c r="A405" s="204">
        <v>7203454549</v>
      </c>
      <c r="B405" s="204">
        <v>7203175930</v>
      </c>
      <c r="C405" s="126" t="s">
        <v>276</v>
      </c>
      <c r="D405" s="5">
        <v>6234000600</v>
      </c>
      <c r="E405" s="156">
        <v>44652</v>
      </c>
      <c r="F405" s="155">
        <v>28626</v>
      </c>
      <c r="G405" s="214" t="s">
        <v>1</v>
      </c>
      <c r="H405" s="67"/>
      <c r="I405" s="68">
        <v>0</v>
      </c>
      <c r="J405" s="63">
        <v>25.26</v>
      </c>
      <c r="K405" s="3"/>
      <c r="L405" s="6"/>
      <c r="M405" s="6"/>
      <c r="N405" s="6"/>
      <c r="O405" s="69">
        <v>33250</v>
      </c>
      <c r="P405" s="66" t="s">
        <v>269</v>
      </c>
      <c r="Q405" s="64">
        <v>25.26</v>
      </c>
      <c r="R405" s="65">
        <v>25.26</v>
      </c>
      <c r="S405" t="s">
        <v>433</v>
      </c>
      <c r="T405">
        <f t="shared" si="24"/>
        <v>723092.76</v>
      </c>
      <c r="U405">
        <f t="shared" si="25"/>
        <v>4624</v>
      </c>
      <c r="V405">
        <f t="shared" si="26"/>
        <v>839895</v>
      </c>
      <c r="W405">
        <f t="shared" si="27"/>
        <v>116802.23999999999</v>
      </c>
    </row>
    <row r="406" spans="1:23" x14ac:dyDescent="0.25">
      <c r="A406" s="204">
        <v>7203454549</v>
      </c>
      <c r="B406" s="204">
        <v>7203175930</v>
      </c>
      <c r="C406" s="126" t="s">
        <v>276</v>
      </c>
      <c r="D406" s="5">
        <v>6234000600</v>
      </c>
      <c r="E406" s="156">
        <v>44655</v>
      </c>
      <c r="F406" s="155">
        <v>28626</v>
      </c>
      <c r="G406" s="214" t="s">
        <v>1</v>
      </c>
      <c r="H406" s="67"/>
      <c r="I406" s="68">
        <v>0</v>
      </c>
      <c r="J406" s="63">
        <v>25.68</v>
      </c>
      <c r="K406" s="3"/>
      <c r="L406" s="6"/>
      <c r="M406" s="6"/>
      <c r="N406" s="6"/>
      <c r="O406" s="69">
        <v>33250</v>
      </c>
      <c r="P406" s="66" t="s">
        <v>269</v>
      </c>
      <c r="Q406" s="64">
        <v>25.68</v>
      </c>
      <c r="R406" s="65">
        <v>25.68</v>
      </c>
      <c r="S406" t="s">
        <v>433</v>
      </c>
      <c r="T406">
        <f t="shared" si="24"/>
        <v>735115.67999999993</v>
      </c>
      <c r="U406">
        <f t="shared" si="25"/>
        <v>4624</v>
      </c>
      <c r="V406">
        <f t="shared" si="26"/>
        <v>853860</v>
      </c>
      <c r="W406">
        <f t="shared" si="27"/>
        <v>118744.32000000007</v>
      </c>
    </row>
    <row r="407" spans="1:23" x14ac:dyDescent="0.25">
      <c r="A407" s="204">
        <v>7203454549</v>
      </c>
      <c r="B407" s="204">
        <v>7203175930</v>
      </c>
      <c r="C407" s="126" t="s">
        <v>276</v>
      </c>
      <c r="D407" s="5">
        <v>6234000600</v>
      </c>
      <c r="E407" s="156">
        <v>44655</v>
      </c>
      <c r="F407" s="155">
        <v>28626</v>
      </c>
      <c r="G407" s="214" t="s">
        <v>1</v>
      </c>
      <c r="H407" s="67"/>
      <c r="I407" s="68">
        <v>0</v>
      </c>
      <c r="J407" s="63">
        <v>26.6</v>
      </c>
      <c r="K407" s="3"/>
      <c r="L407" s="6"/>
      <c r="M407" s="6"/>
      <c r="N407" s="6"/>
      <c r="O407" s="69">
        <v>33250</v>
      </c>
      <c r="P407" s="66" t="s">
        <v>269</v>
      </c>
      <c r="Q407" s="64">
        <v>26.6</v>
      </c>
      <c r="R407" s="65">
        <v>26.6</v>
      </c>
      <c r="S407" t="s">
        <v>433</v>
      </c>
      <c r="T407">
        <f t="shared" si="24"/>
        <v>761451.60000000009</v>
      </c>
      <c r="U407">
        <f t="shared" si="25"/>
        <v>4624</v>
      </c>
      <c r="V407">
        <f t="shared" si="26"/>
        <v>884450</v>
      </c>
      <c r="W407">
        <f t="shared" si="27"/>
        <v>122998.39999999991</v>
      </c>
    </row>
    <row r="408" spans="1:23" x14ac:dyDescent="0.25">
      <c r="A408" s="204">
        <v>7203454549</v>
      </c>
      <c r="B408" s="204">
        <v>7203175930</v>
      </c>
      <c r="C408" s="126" t="s">
        <v>276</v>
      </c>
      <c r="D408" s="5">
        <v>6234000600</v>
      </c>
      <c r="E408" s="156">
        <v>44656</v>
      </c>
      <c r="F408" s="155">
        <v>28626</v>
      </c>
      <c r="G408" s="214" t="s">
        <v>1</v>
      </c>
      <c r="H408" s="67"/>
      <c r="I408" s="68">
        <v>0</v>
      </c>
      <c r="J408" s="63">
        <v>26.16</v>
      </c>
      <c r="K408" s="3"/>
      <c r="L408" s="6"/>
      <c r="M408" s="6"/>
      <c r="N408" s="6"/>
      <c r="O408" s="69">
        <v>33250</v>
      </c>
      <c r="P408" s="66" t="s">
        <v>269</v>
      </c>
      <c r="Q408" s="64">
        <v>26.16</v>
      </c>
      <c r="R408" s="65">
        <v>26.16</v>
      </c>
      <c r="S408" t="s">
        <v>433</v>
      </c>
      <c r="T408">
        <f t="shared" si="24"/>
        <v>748856.16</v>
      </c>
      <c r="U408">
        <f t="shared" si="25"/>
        <v>4624</v>
      </c>
      <c r="V408">
        <f t="shared" si="26"/>
        <v>869820</v>
      </c>
      <c r="W408">
        <f t="shared" si="27"/>
        <v>120963.83999999997</v>
      </c>
    </row>
    <row r="409" spans="1:23" x14ac:dyDescent="0.25">
      <c r="A409" s="204">
        <v>7203454549</v>
      </c>
      <c r="B409" s="204">
        <v>7203175930</v>
      </c>
      <c r="C409" s="126" t="s">
        <v>276</v>
      </c>
      <c r="D409" s="5">
        <v>6234000600</v>
      </c>
      <c r="E409" s="156">
        <v>44656</v>
      </c>
      <c r="F409" s="155">
        <v>28626</v>
      </c>
      <c r="G409" s="214" t="s">
        <v>1</v>
      </c>
      <c r="H409" s="67"/>
      <c r="I409" s="68">
        <v>0</v>
      </c>
      <c r="J409" s="63">
        <v>25.98</v>
      </c>
      <c r="K409" s="3"/>
      <c r="L409" s="6"/>
      <c r="M409" s="6"/>
      <c r="N409" s="6"/>
      <c r="O409" s="69">
        <v>33250</v>
      </c>
      <c r="P409" s="66" t="s">
        <v>269</v>
      </c>
      <c r="Q409" s="64">
        <v>25.98</v>
      </c>
      <c r="R409" s="65">
        <v>25.98</v>
      </c>
      <c r="S409" t="s">
        <v>433</v>
      </c>
      <c r="T409">
        <f t="shared" si="24"/>
        <v>743703.48</v>
      </c>
      <c r="U409">
        <f t="shared" si="25"/>
        <v>4624</v>
      </c>
      <c r="V409">
        <f t="shared" si="26"/>
        <v>863835</v>
      </c>
      <c r="W409">
        <f t="shared" si="27"/>
        <v>120131.52000000002</v>
      </c>
    </row>
    <row r="410" spans="1:23" x14ac:dyDescent="0.25">
      <c r="A410" s="204">
        <v>7203454549</v>
      </c>
      <c r="B410" s="204">
        <v>7203175930</v>
      </c>
      <c r="C410" s="126" t="s">
        <v>276</v>
      </c>
      <c r="D410" s="5">
        <v>6234000600</v>
      </c>
      <c r="E410" s="156">
        <v>44656</v>
      </c>
      <c r="F410" s="155">
        <v>28626</v>
      </c>
      <c r="G410" s="214" t="s">
        <v>1</v>
      </c>
      <c r="H410" s="67"/>
      <c r="I410" s="68">
        <v>0</v>
      </c>
      <c r="J410" s="63">
        <v>26.26</v>
      </c>
      <c r="K410" s="3"/>
      <c r="L410" s="6"/>
      <c r="M410" s="6"/>
      <c r="N410" s="6"/>
      <c r="O410" s="69">
        <v>33250</v>
      </c>
      <c r="P410" s="66" t="s">
        <v>269</v>
      </c>
      <c r="Q410" s="64">
        <v>26.26</v>
      </c>
      <c r="R410" s="65">
        <v>26.26</v>
      </c>
      <c r="S410" t="s">
        <v>433</v>
      </c>
      <c r="T410">
        <f t="shared" si="24"/>
        <v>751718.76</v>
      </c>
      <c r="U410">
        <f t="shared" si="25"/>
        <v>4624</v>
      </c>
      <c r="V410">
        <f t="shared" si="26"/>
        <v>873145</v>
      </c>
      <c r="W410">
        <f t="shared" si="27"/>
        <v>121426.23999999999</v>
      </c>
    </row>
    <row r="411" spans="1:23" x14ac:dyDescent="0.25">
      <c r="A411" s="204">
        <v>7203454549</v>
      </c>
      <c r="B411" s="204">
        <v>7203175930</v>
      </c>
      <c r="C411" s="126" t="s">
        <v>276</v>
      </c>
      <c r="D411" s="5">
        <v>6234000600</v>
      </c>
      <c r="E411" s="156">
        <v>44656</v>
      </c>
      <c r="F411" s="155">
        <v>28626</v>
      </c>
      <c r="G411" s="214" t="s">
        <v>1</v>
      </c>
      <c r="H411" s="67"/>
      <c r="I411" s="68">
        <v>0</v>
      </c>
      <c r="J411" s="63">
        <v>26.36</v>
      </c>
      <c r="K411" s="3"/>
      <c r="L411" s="6"/>
      <c r="M411" s="6"/>
      <c r="N411" s="6"/>
      <c r="O411" s="69">
        <v>33250</v>
      </c>
      <c r="P411" s="66" t="s">
        <v>269</v>
      </c>
      <c r="Q411" s="64">
        <v>26.36</v>
      </c>
      <c r="R411" s="65">
        <v>26.36</v>
      </c>
      <c r="S411" t="s">
        <v>433</v>
      </c>
      <c r="T411">
        <f t="shared" si="24"/>
        <v>754581.36</v>
      </c>
      <c r="U411">
        <f t="shared" si="25"/>
        <v>4624</v>
      </c>
      <c r="V411">
        <f t="shared" si="26"/>
        <v>876470</v>
      </c>
      <c r="W411">
        <f t="shared" si="27"/>
        <v>121888.64000000001</v>
      </c>
    </row>
    <row r="412" spans="1:23" x14ac:dyDescent="0.25">
      <c r="A412" s="204">
        <v>7203454549</v>
      </c>
      <c r="B412" s="204">
        <v>7203175930</v>
      </c>
      <c r="C412" s="126" t="s">
        <v>276</v>
      </c>
      <c r="D412" s="5">
        <v>6234000600</v>
      </c>
      <c r="E412" s="156">
        <v>44657</v>
      </c>
      <c r="F412" s="155">
        <v>28626</v>
      </c>
      <c r="G412" s="214" t="s">
        <v>1</v>
      </c>
      <c r="H412" s="67"/>
      <c r="I412" s="68">
        <v>0</v>
      </c>
      <c r="J412" s="63">
        <v>25.84</v>
      </c>
      <c r="K412" s="3"/>
      <c r="L412" s="6"/>
      <c r="M412" s="6"/>
      <c r="N412" s="6"/>
      <c r="O412" s="69">
        <v>33250</v>
      </c>
      <c r="P412" s="66" t="s">
        <v>269</v>
      </c>
      <c r="Q412" s="64">
        <v>25.84</v>
      </c>
      <c r="R412" s="65">
        <v>25.84</v>
      </c>
      <c r="S412" t="s">
        <v>433</v>
      </c>
      <c r="T412">
        <f t="shared" si="24"/>
        <v>739695.84</v>
      </c>
      <c r="U412">
        <f t="shared" si="25"/>
        <v>4624</v>
      </c>
      <c r="V412">
        <f t="shared" si="26"/>
        <v>859180</v>
      </c>
      <c r="W412">
        <f t="shared" si="27"/>
        <v>119484.16000000003</v>
      </c>
    </row>
    <row r="413" spans="1:23" x14ac:dyDescent="0.25">
      <c r="A413" s="204">
        <v>7203454549</v>
      </c>
      <c r="B413" s="204">
        <v>7203175930</v>
      </c>
      <c r="C413" s="126" t="s">
        <v>276</v>
      </c>
      <c r="D413" s="5">
        <v>6234000600</v>
      </c>
      <c r="E413" s="156">
        <v>44657</v>
      </c>
      <c r="F413" s="155">
        <v>28626</v>
      </c>
      <c r="G413" s="214" t="s">
        <v>1</v>
      </c>
      <c r="H413" s="67"/>
      <c r="I413" s="68">
        <v>0</v>
      </c>
      <c r="J413" s="63">
        <v>26.46</v>
      </c>
      <c r="K413" s="3"/>
      <c r="L413" s="6"/>
      <c r="M413" s="6"/>
      <c r="N413" s="6"/>
      <c r="O413" s="69">
        <v>33250</v>
      </c>
      <c r="P413" s="66" t="s">
        <v>269</v>
      </c>
      <c r="Q413" s="64">
        <v>26.46</v>
      </c>
      <c r="R413" s="65">
        <v>26.46</v>
      </c>
      <c r="S413" t="s">
        <v>433</v>
      </c>
      <c r="T413">
        <f t="shared" si="24"/>
        <v>757443.96000000008</v>
      </c>
      <c r="U413">
        <f t="shared" si="25"/>
        <v>4624</v>
      </c>
      <c r="V413">
        <f t="shared" si="26"/>
        <v>879795</v>
      </c>
      <c r="W413">
        <f t="shared" si="27"/>
        <v>122351.03999999992</v>
      </c>
    </row>
    <row r="414" spans="1:23" x14ac:dyDescent="0.25">
      <c r="A414" s="204">
        <v>7203454549</v>
      </c>
      <c r="B414" s="204">
        <v>7203175930</v>
      </c>
      <c r="C414" s="126" t="s">
        <v>276</v>
      </c>
      <c r="D414" s="5">
        <v>6234000600</v>
      </c>
      <c r="E414" s="156">
        <v>44657</v>
      </c>
      <c r="F414" s="155">
        <v>28626</v>
      </c>
      <c r="G414" s="214" t="s">
        <v>1</v>
      </c>
      <c r="H414" s="67"/>
      <c r="I414" s="68">
        <v>0</v>
      </c>
      <c r="J414" s="63">
        <v>26.46</v>
      </c>
      <c r="K414" s="3"/>
      <c r="L414" s="6"/>
      <c r="M414" s="6"/>
      <c r="N414" s="6"/>
      <c r="O414" s="69">
        <v>33250</v>
      </c>
      <c r="P414" s="66" t="s">
        <v>269</v>
      </c>
      <c r="Q414" s="64">
        <v>26.46</v>
      </c>
      <c r="R414" s="65">
        <v>26.46</v>
      </c>
      <c r="S414" t="s">
        <v>433</v>
      </c>
      <c r="T414">
        <f t="shared" si="24"/>
        <v>757443.96000000008</v>
      </c>
      <c r="U414">
        <f t="shared" si="25"/>
        <v>4624</v>
      </c>
      <c r="V414">
        <f t="shared" si="26"/>
        <v>879795</v>
      </c>
      <c r="W414">
        <f t="shared" si="27"/>
        <v>122351.03999999992</v>
      </c>
    </row>
    <row r="415" spans="1:23" x14ac:dyDescent="0.25">
      <c r="A415" s="204">
        <v>7203454549</v>
      </c>
      <c r="B415" s="204">
        <v>7203175930</v>
      </c>
      <c r="C415" s="126" t="s">
        <v>276</v>
      </c>
      <c r="D415" s="5">
        <v>6234000600</v>
      </c>
      <c r="E415" s="156">
        <v>44657</v>
      </c>
      <c r="F415" s="155">
        <v>28626</v>
      </c>
      <c r="G415" s="214" t="s">
        <v>1</v>
      </c>
      <c r="H415" s="67"/>
      <c r="I415" s="68">
        <v>0</v>
      </c>
      <c r="J415" s="63">
        <v>26.02</v>
      </c>
      <c r="K415" s="3"/>
      <c r="L415" s="6"/>
      <c r="M415" s="6"/>
      <c r="N415" s="6"/>
      <c r="O415" s="69">
        <v>33250</v>
      </c>
      <c r="P415" s="66" t="s">
        <v>269</v>
      </c>
      <c r="Q415" s="64">
        <v>26.02</v>
      </c>
      <c r="R415" s="65">
        <v>26.02</v>
      </c>
      <c r="S415" t="s">
        <v>433</v>
      </c>
      <c r="T415">
        <f t="shared" si="24"/>
        <v>744848.52</v>
      </c>
      <c r="U415">
        <f t="shared" si="25"/>
        <v>4624</v>
      </c>
      <c r="V415">
        <f t="shared" si="26"/>
        <v>865165</v>
      </c>
      <c r="W415">
        <f t="shared" si="27"/>
        <v>120316.47999999998</v>
      </c>
    </row>
    <row r="416" spans="1:23" x14ac:dyDescent="0.25">
      <c r="A416" s="204">
        <v>7203454549</v>
      </c>
      <c r="B416" s="204">
        <v>7203175930</v>
      </c>
      <c r="C416" s="126" t="s">
        <v>276</v>
      </c>
      <c r="D416" s="5">
        <v>6234000600</v>
      </c>
      <c r="E416" s="156">
        <v>44657</v>
      </c>
      <c r="F416" s="155">
        <v>28626</v>
      </c>
      <c r="G416" s="214" t="s">
        <v>1</v>
      </c>
      <c r="H416" s="67"/>
      <c r="I416" s="68">
        <v>0</v>
      </c>
      <c r="J416" s="63">
        <v>25.96</v>
      </c>
      <c r="K416" s="3"/>
      <c r="L416" s="6"/>
      <c r="M416" s="6"/>
      <c r="N416" s="6"/>
      <c r="O416" s="69">
        <v>33250</v>
      </c>
      <c r="P416" s="66" t="s">
        <v>269</v>
      </c>
      <c r="Q416" s="64">
        <v>25.96</v>
      </c>
      <c r="R416" s="65">
        <v>25.96</v>
      </c>
      <c r="S416" t="s">
        <v>433</v>
      </c>
      <c r="T416">
        <f t="shared" si="24"/>
        <v>743130.96000000008</v>
      </c>
      <c r="U416">
        <f t="shared" si="25"/>
        <v>4624</v>
      </c>
      <c r="V416">
        <f t="shared" si="26"/>
        <v>863170</v>
      </c>
      <c r="W416">
        <f t="shared" si="27"/>
        <v>120039.03999999992</v>
      </c>
    </row>
    <row r="417" spans="1:23" x14ac:dyDescent="0.25">
      <c r="A417" s="204">
        <v>7203454549</v>
      </c>
      <c r="B417" s="204">
        <v>7203175930</v>
      </c>
      <c r="C417" s="126" t="s">
        <v>276</v>
      </c>
      <c r="D417" s="5">
        <v>6234000600</v>
      </c>
      <c r="E417" s="156">
        <v>44659</v>
      </c>
      <c r="F417" s="155">
        <v>27500</v>
      </c>
      <c r="G417" s="5" t="s">
        <v>421</v>
      </c>
      <c r="H417" s="204">
        <v>5503182532</v>
      </c>
      <c r="I417" s="68">
        <v>2200</v>
      </c>
      <c r="J417" s="63">
        <v>26.42</v>
      </c>
      <c r="K417" s="3" t="s">
        <v>277</v>
      </c>
      <c r="L417" s="6"/>
      <c r="M417" s="6"/>
      <c r="N417" s="6"/>
      <c r="O417" s="69">
        <v>33250</v>
      </c>
      <c r="P417" s="66" t="s">
        <v>269</v>
      </c>
      <c r="Q417" s="64">
        <v>26.42</v>
      </c>
      <c r="R417" s="65">
        <v>26.42</v>
      </c>
      <c r="S417" t="s">
        <v>433</v>
      </c>
      <c r="T417">
        <f t="shared" si="24"/>
        <v>784674</v>
      </c>
      <c r="U417">
        <f t="shared" si="25"/>
        <v>3550</v>
      </c>
      <c r="V417">
        <f t="shared" si="26"/>
        <v>878465</v>
      </c>
      <c r="W417">
        <f t="shared" si="27"/>
        <v>93791</v>
      </c>
    </row>
    <row r="418" spans="1:23" x14ac:dyDescent="0.25">
      <c r="A418" s="204">
        <v>7203454549</v>
      </c>
      <c r="B418" s="204">
        <v>7203175930</v>
      </c>
      <c r="C418" s="126" t="s">
        <v>276</v>
      </c>
      <c r="D418" s="5">
        <v>6234000600</v>
      </c>
      <c r="E418" s="156">
        <v>44660</v>
      </c>
      <c r="F418" s="155">
        <v>27500</v>
      </c>
      <c r="G418" s="5" t="s">
        <v>421</v>
      </c>
      <c r="H418" s="204">
        <v>5501132737</v>
      </c>
      <c r="I418" s="68">
        <v>2400</v>
      </c>
      <c r="J418" s="63">
        <v>26.1</v>
      </c>
      <c r="K418" s="1" t="s">
        <v>278</v>
      </c>
      <c r="L418" s="6"/>
      <c r="M418" s="6"/>
      <c r="N418" s="6"/>
      <c r="O418" s="69">
        <v>33250</v>
      </c>
      <c r="P418" s="66" t="s">
        <v>269</v>
      </c>
      <c r="Q418" s="64">
        <v>26.1</v>
      </c>
      <c r="R418" s="65">
        <v>26.1</v>
      </c>
      <c r="S418" t="s">
        <v>433</v>
      </c>
      <c r="T418">
        <f t="shared" si="24"/>
        <v>780390</v>
      </c>
      <c r="U418">
        <f t="shared" si="25"/>
        <v>3350</v>
      </c>
      <c r="V418">
        <f t="shared" si="26"/>
        <v>867825</v>
      </c>
      <c r="W418">
        <f t="shared" si="27"/>
        <v>87435</v>
      </c>
    </row>
    <row r="419" spans="1:23" x14ac:dyDescent="0.25">
      <c r="A419" s="204">
        <v>7203454549</v>
      </c>
      <c r="B419" s="204">
        <v>7203175930</v>
      </c>
      <c r="C419" s="126" t="s">
        <v>276</v>
      </c>
      <c r="D419" s="5">
        <v>6234000600</v>
      </c>
      <c r="E419" s="156">
        <v>44660</v>
      </c>
      <c r="F419" s="155">
        <v>27500</v>
      </c>
      <c r="G419" s="5" t="s">
        <v>421</v>
      </c>
      <c r="H419" s="204">
        <v>5501132737</v>
      </c>
      <c r="I419" s="68">
        <v>2400</v>
      </c>
      <c r="J419" s="63">
        <v>26.32</v>
      </c>
      <c r="K419" s="1" t="s">
        <v>279</v>
      </c>
      <c r="L419" s="6"/>
      <c r="M419" s="6"/>
      <c r="N419" s="6"/>
      <c r="O419" s="69">
        <v>33250</v>
      </c>
      <c r="P419" s="66" t="s">
        <v>269</v>
      </c>
      <c r="Q419" s="64">
        <v>26.32</v>
      </c>
      <c r="R419" s="65">
        <v>26.32</v>
      </c>
      <c r="S419" t="s">
        <v>433</v>
      </c>
      <c r="T419">
        <f t="shared" si="24"/>
        <v>786968</v>
      </c>
      <c r="U419">
        <f t="shared" si="25"/>
        <v>3350</v>
      </c>
      <c r="V419">
        <f t="shared" si="26"/>
        <v>875140</v>
      </c>
      <c r="W419">
        <f t="shared" si="27"/>
        <v>88172</v>
      </c>
    </row>
    <row r="420" spans="1:23" x14ac:dyDescent="0.25">
      <c r="A420" s="204">
        <v>7203454549</v>
      </c>
      <c r="B420" s="204">
        <v>7203175930</v>
      </c>
      <c r="C420" s="126" t="s">
        <v>276</v>
      </c>
      <c r="D420" s="5">
        <v>6234000600</v>
      </c>
      <c r="E420" s="156">
        <v>44660</v>
      </c>
      <c r="F420" s="155">
        <v>27500</v>
      </c>
      <c r="G420" s="5" t="s">
        <v>421</v>
      </c>
      <c r="H420" s="204">
        <v>5503182532</v>
      </c>
      <c r="I420" s="68">
        <v>2200</v>
      </c>
      <c r="J420" s="63">
        <v>26.02</v>
      </c>
      <c r="K420" s="1" t="s">
        <v>257</v>
      </c>
      <c r="L420" s="6"/>
      <c r="M420" s="6"/>
      <c r="N420" s="6"/>
      <c r="O420" s="69">
        <v>33250</v>
      </c>
      <c r="P420" s="66" t="s">
        <v>269</v>
      </c>
      <c r="Q420" s="64">
        <v>26.02</v>
      </c>
      <c r="R420" s="65">
        <v>26.02</v>
      </c>
      <c r="S420" t="s">
        <v>433</v>
      </c>
      <c r="T420">
        <f t="shared" si="24"/>
        <v>772794</v>
      </c>
      <c r="U420">
        <f t="shared" si="25"/>
        <v>3550</v>
      </c>
      <c r="V420">
        <f t="shared" si="26"/>
        <v>865165</v>
      </c>
      <c r="W420">
        <f t="shared" si="27"/>
        <v>92371</v>
      </c>
    </row>
    <row r="421" spans="1:23" x14ac:dyDescent="0.25">
      <c r="A421" s="204">
        <v>7203454549</v>
      </c>
      <c r="B421" s="204">
        <v>7203175930</v>
      </c>
      <c r="C421" s="126" t="s">
        <v>276</v>
      </c>
      <c r="D421" s="5">
        <v>6234000600</v>
      </c>
      <c r="E421" s="156">
        <v>44660</v>
      </c>
      <c r="F421" s="155">
        <v>27500</v>
      </c>
      <c r="G421" s="5" t="s">
        <v>421</v>
      </c>
      <c r="H421" s="204">
        <v>5501132737</v>
      </c>
      <c r="I421" s="68">
        <v>2400</v>
      </c>
      <c r="J421" s="63">
        <v>26.12</v>
      </c>
      <c r="K421" s="1" t="s">
        <v>196</v>
      </c>
      <c r="L421" s="6"/>
      <c r="M421" s="6"/>
      <c r="N421" s="6"/>
      <c r="O421" s="69">
        <v>33250</v>
      </c>
      <c r="P421" s="66" t="s">
        <v>269</v>
      </c>
      <c r="Q421" s="64">
        <v>26.12</v>
      </c>
      <c r="R421" s="65">
        <v>26.12</v>
      </c>
      <c r="S421" t="s">
        <v>433</v>
      </c>
      <c r="T421">
        <f t="shared" si="24"/>
        <v>780988</v>
      </c>
      <c r="U421">
        <f t="shared" si="25"/>
        <v>3350</v>
      </c>
      <c r="V421">
        <f t="shared" si="26"/>
        <v>868490</v>
      </c>
      <c r="W421">
        <f t="shared" si="27"/>
        <v>87502</v>
      </c>
    </row>
    <row r="422" spans="1:23" x14ac:dyDescent="0.25">
      <c r="A422" s="204">
        <v>7203454549</v>
      </c>
      <c r="B422" s="204">
        <v>7203175930</v>
      </c>
      <c r="C422" s="126" t="s">
        <v>276</v>
      </c>
      <c r="D422" s="5">
        <v>6234000600</v>
      </c>
      <c r="E422" s="156">
        <v>44660</v>
      </c>
      <c r="F422" s="155">
        <v>27500</v>
      </c>
      <c r="G422" s="5" t="s">
        <v>421</v>
      </c>
      <c r="H422" s="204">
        <v>5501132737</v>
      </c>
      <c r="I422" s="68">
        <v>2400</v>
      </c>
      <c r="J422" s="63">
        <v>26.56</v>
      </c>
      <c r="K422" s="1" t="s">
        <v>189</v>
      </c>
      <c r="L422" s="6"/>
      <c r="M422" s="6"/>
      <c r="N422" s="6"/>
      <c r="O422" s="69">
        <v>33250</v>
      </c>
      <c r="P422" s="66" t="s">
        <v>269</v>
      </c>
      <c r="Q422" s="64">
        <v>26.56</v>
      </c>
      <c r="R422" s="65">
        <v>26.56</v>
      </c>
      <c r="S422" t="s">
        <v>433</v>
      </c>
      <c r="T422">
        <f t="shared" si="24"/>
        <v>794144</v>
      </c>
      <c r="U422">
        <f t="shared" si="25"/>
        <v>3350</v>
      </c>
      <c r="V422">
        <f t="shared" si="26"/>
        <v>883120</v>
      </c>
      <c r="W422">
        <f t="shared" si="27"/>
        <v>88976</v>
      </c>
    </row>
    <row r="423" spans="1:23" x14ac:dyDescent="0.25">
      <c r="A423" s="204">
        <v>7203454549</v>
      </c>
      <c r="B423" s="204">
        <v>7203175930</v>
      </c>
      <c r="C423" s="126" t="s">
        <v>276</v>
      </c>
      <c r="D423" s="5">
        <v>6234000600</v>
      </c>
      <c r="E423" s="156">
        <v>44677</v>
      </c>
      <c r="F423" s="155">
        <v>28626</v>
      </c>
      <c r="G423" s="5" t="s">
        <v>1</v>
      </c>
      <c r="H423" s="67"/>
      <c r="I423" s="68">
        <v>0</v>
      </c>
      <c r="J423" s="63">
        <v>25.92</v>
      </c>
      <c r="K423" s="3"/>
      <c r="L423" s="6"/>
      <c r="M423" s="6"/>
      <c r="N423" s="6"/>
      <c r="O423" s="69">
        <v>33250</v>
      </c>
      <c r="P423" s="66" t="s">
        <v>269</v>
      </c>
      <c r="Q423" s="64">
        <v>25.92</v>
      </c>
      <c r="R423" s="65">
        <v>25.92</v>
      </c>
      <c r="S423" t="s">
        <v>433</v>
      </c>
      <c r="T423">
        <f t="shared" si="24"/>
        <v>741985.92</v>
      </c>
      <c r="U423">
        <f t="shared" si="25"/>
        <v>4624</v>
      </c>
      <c r="V423">
        <f t="shared" si="26"/>
        <v>861840</v>
      </c>
      <c r="W423">
        <f t="shared" si="27"/>
        <v>119854.07999999996</v>
      </c>
    </row>
    <row r="424" spans="1:23" x14ac:dyDescent="0.25">
      <c r="A424" s="204">
        <v>7203454549</v>
      </c>
      <c r="B424" s="204">
        <v>7203175930</v>
      </c>
      <c r="C424" s="126" t="s">
        <v>276</v>
      </c>
      <c r="D424" s="5">
        <v>6234000600</v>
      </c>
      <c r="E424" s="156">
        <v>44677</v>
      </c>
      <c r="F424" s="155">
        <v>28626</v>
      </c>
      <c r="G424" s="5" t="s">
        <v>1</v>
      </c>
      <c r="H424" s="67"/>
      <c r="I424" s="68">
        <v>0</v>
      </c>
      <c r="J424" s="63">
        <v>26.3</v>
      </c>
      <c r="K424" s="3"/>
      <c r="L424" s="6"/>
      <c r="M424" s="6"/>
      <c r="N424" s="6"/>
      <c r="O424" s="69">
        <v>33250</v>
      </c>
      <c r="P424" s="66" t="s">
        <v>269</v>
      </c>
      <c r="Q424" s="64">
        <v>26.3</v>
      </c>
      <c r="R424" s="65">
        <v>26.3</v>
      </c>
      <c r="S424" t="s">
        <v>433</v>
      </c>
      <c r="T424">
        <f t="shared" si="24"/>
        <v>752863.8</v>
      </c>
      <c r="U424">
        <f t="shared" si="25"/>
        <v>4624</v>
      </c>
      <c r="V424">
        <f t="shared" si="26"/>
        <v>874475</v>
      </c>
      <c r="W424">
        <f t="shared" si="27"/>
        <v>121611.19999999995</v>
      </c>
    </row>
    <row r="425" spans="1:23" x14ac:dyDescent="0.25">
      <c r="A425" s="204">
        <v>7203454549</v>
      </c>
      <c r="B425" s="204">
        <v>7203175930</v>
      </c>
      <c r="C425" s="126" t="s">
        <v>276</v>
      </c>
      <c r="D425" s="5">
        <v>6234000600</v>
      </c>
      <c r="E425" s="156">
        <v>44677</v>
      </c>
      <c r="F425" s="155">
        <v>28626</v>
      </c>
      <c r="G425" s="5" t="s">
        <v>1</v>
      </c>
      <c r="H425" s="67"/>
      <c r="I425" s="68">
        <v>0</v>
      </c>
      <c r="J425" s="63">
        <v>26.5</v>
      </c>
      <c r="K425" s="3"/>
      <c r="L425" s="6"/>
      <c r="M425" s="6"/>
      <c r="N425" s="6"/>
      <c r="O425" s="69">
        <v>33250</v>
      </c>
      <c r="P425" s="66" t="s">
        <v>269</v>
      </c>
      <c r="Q425" s="64">
        <v>26.5</v>
      </c>
      <c r="R425" s="65">
        <v>26.5</v>
      </c>
      <c r="S425" t="s">
        <v>433</v>
      </c>
      <c r="T425">
        <f t="shared" si="24"/>
        <v>758589</v>
      </c>
      <c r="U425">
        <f t="shared" si="25"/>
        <v>4624</v>
      </c>
      <c r="V425">
        <f t="shared" si="26"/>
        <v>881125</v>
      </c>
      <c r="W425">
        <f t="shared" si="27"/>
        <v>122536</v>
      </c>
    </row>
    <row r="426" spans="1:23" x14ac:dyDescent="0.25">
      <c r="A426" s="204">
        <v>7203454549</v>
      </c>
      <c r="B426" s="204">
        <v>7203175930</v>
      </c>
      <c r="C426" s="126" t="s">
        <v>276</v>
      </c>
      <c r="D426" s="5">
        <v>6234000600</v>
      </c>
      <c r="E426" s="156">
        <v>44678</v>
      </c>
      <c r="F426" s="155">
        <v>28626</v>
      </c>
      <c r="G426" s="5" t="s">
        <v>1</v>
      </c>
      <c r="H426" s="67"/>
      <c r="I426" s="68">
        <v>0</v>
      </c>
      <c r="J426" s="63">
        <v>26.6</v>
      </c>
      <c r="K426" s="3"/>
      <c r="L426" s="6"/>
      <c r="M426" s="6"/>
      <c r="N426" s="6"/>
      <c r="O426" s="69">
        <v>33250</v>
      </c>
      <c r="P426" s="66" t="s">
        <v>269</v>
      </c>
      <c r="Q426" s="64">
        <v>26.6</v>
      </c>
      <c r="R426" s="65">
        <v>26.6</v>
      </c>
      <c r="S426" t="s">
        <v>433</v>
      </c>
      <c r="T426">
        <f t="shared" si="24"/>
        <v>761451.60000000009</v>
      </c>
      <c r="U426">
        <f t="shared" si="25"/>
        <v>4624</v>
      </c>
      <c r="V426">
        <f t="shared" si="26"/>
        <v>884450</v>
      </c>
      <c r="W426">
        <f t="shared" si="27"/>
        <v>122998.39999999991</v>
      </c>
    </row>
    <row r="427" spans="1:23" x14ac:dyDescent="0.25">
      <c r="A427" s="204">
        <v>7203454549</v>
      </c>
      <c r="B427" s="204">
        <v>7203175930</v>
      </c>
      <c r="C427" s="126" t="s">
        <v>276</v>
      </c>
      <c r="D427" s="5">
        <v>6234000600</v>
      </c>
      <c r="E427" s="156">
        <v>44678</v>
      </c>
      <c r="F427" s="155">
        <v>28626</v>
      </c>
      <c r="G427" s="5" t="s">
        <v>1</v>
      </c>
      <c r="H427" s="67"/>
      <c r="I427" s="68">
        <v>0</v>
      </c>
      <c r="J427" s="63">
        <v>26.46</v>
      </c>
      <c r="K427" s="3"/>
      <c r="L427" s="6"/>
      <c r="M427" s="6"/>
      <c r="N427" s="6"/>
      <c r="O427" s="69">
        <v>33250</v>
      </c>
      <c r="P427" s="66" t="s">
        <v>269</v>
      </c>
      <c r="Q427" s="64">
        <v>26.46</v>
      </c>
      <c r="R427" s="65">
        <v>26.46</v>
      </c>
      <c r="S427" t="s">
        <v>433</v>
      </c>
      <c r="T427">
        <f t="shared" si="24"/>
        <v>757443.96000000008</v>
      </c>
      <c r="U427">
        <f t="shared" si="25"/>
        <v>4624</v>
      </c>
      <c r="V427">
        <f t="shared" si="26"/>
        <v>879795</v>
      </c>
      <c r="W427">
        <f t="shared" si="27"/>
        <v>122351.03999999992</v>
      </c>
    </row>
    <row r="428" spans="1:23" x14ac:dyDescent="0.25">
      <c r="A428" s="204">
        <v>7203454549</v>
      </c>
      <c r="B428" s="204">
        <v>7203175930</v>
      </c>
      <c r="C428" s="126" t="s">
        <v>276</v>
      </c>
      <c r="D428" s="5">
        <v>6234000600</v>
      </c>
      <c r="E428" s="156">
        <v>44678</v>
      </c>
      <c r="F428" s="155">
        <v>28626</v>
      </c>
      <c r="G428" s="5" t="s">
        <v>1</v>
      </c>
      <c r="H428" s="67"/>
      <c r="I428" s="68">
        <v>0</v>
      </c>
      <c r="J428" s="63">
        <v>26.22</v>
      </c>
      <c r="K428" s="3"/>
      <c r="L428" s="6"/>
      <c r="M428" s="6"/>
      <c r="N428" s="6"/>
      <c r="O428" s="69">
        <v>33250</v>
      </c>
      <c r="P428" s="66" t="s">
        <v>269</v>
      </c>
      <c r="Q428" s="64">
        <v>26.22</v>
      </c>
      <c r="R428" s="65">
        <v>26.22</v>
      </c>
      <c r="S428" t="s">
        <v>433</v>
      </c>
      <c r="T428">
        <f t="shared" si="24"/>
        <v>750573.72</v>
      </c>
      <c r="U428">
        <f t="shared" si="25"/>
        <v>4624</v>
      </c>
      <c r="V428">
        <f t="shared" si="26"/>
        <v>871815</v>
      </c>
      <c r="W428">
        <f t="shared" si="27"/>
        <v>121241.28000000003</v>
      </c>
    </row>
    <row r="429" spans="1:23" x14ac:dyDescent="0.25">
      <c r="A429" s="204">
        <v>7203454549</v>
      </c>
      <c r="B429" s="204">
        <v>7203175930</v>
      </c>
      <c r="C429" s="126" t="s">
        <v>276</v>
      </c>
      <c r="D429" s="5">
        <v>6234000600</v>
      </c>
      <c r="E429" s="156">
        <v>44681</v>
      </c>
      <c r="F429" s="155">
        <v>28626</v>
      </c>
      <c r="G429" s="5" t="s">
        <v>1</v>
      </c>
      <c r="H429" s="67"/>
      <c r="I429" s="68">
        <v>0</v>
      </c>
      <c r="J429" s="63">
        <v>23.74</v>
      </c>
      <c r="K429" s="3"/>
      <c r="L429" s="6"/>
      <c r="M429" s="6"/>
      <c r="N429" s="6"/>
      <c r="O429" s="69">
        <v>33250</v>
      </c>
      <c r="P429" s="66" t="s">
        <v>269</v>
      </c>
      <c r="Q429" s="64">
        <v>23.74</v>
      </c>
      <c r="R429" s="65">
        <v>23.74</v>
      </c>
      <c r="S429" t="s">
        <v>433</v>
      </c>
      <c r="T429">
        <f t="shared" si="24"/>
        <v>679581.24</v>
      </c>
      <c r="U429">
        <f t="shared" si="25"/>
        <v>4624</v>
      </c>
      <c r="V429">
        <f t="shared" si="26"/>
        <v>789355</v>
      </c>
      <c r="W429">
        <f t="shared" si="27"/>
        <v>109773.76000000001</v>
      </c>
    </row>
    <row r="430" spans="1:23" x14ac:dyDescent="0.25">
      <c r="A430" s="204">
        <v>7203454549</v>
      </c>
      <c r="B430" s="204">
        <v>7203175930</v>
      </c>
      <c r="C430" s="126" t="s">
        <v>276</v>
      </c>
      <c r="D430" s="5">
        <v>6234000600</v>
      </c>
      <c r="E430" s="156">
        <v>44681</v>
      </c>
      <c r="F430" s="155">
        <v>28626</v>
      </c>
      <c r="G430" s="5" t="s">
        <v>1</v>
      </c>
      <c r="H430" s="67"/>
      <c r="I430" s="68">
        <v>0</v>
      </c>
      <c r="J430" s="63">
        <v>25.68</v>
      </c>
      <c r="K430" s="3"/>
      <c r="L430" s="6"/>
      <c r="M430" s="6"/>
      <c r="N430" s="6"/>
      <c r="O430" s="69">
        <v>33250</v>
      </c>
      <c r="P430" s="66" t="s">
        <v>269</v>
      </c>
      <c r="Q430" s="64">
        <v>25.68</v>
      </c>
      <c r="R430" s="65">
        <v>25.68</v>
      </c>
      <c r="S430" t="s">
        <v>433</v>
      </c>
      <c r="T430">
        <f t="shared" si="24"/>
        <v>735115.67999999993</v>
      </c>
      <c r="U430">
        <f t="shared" si="25"/>
        <v>4624</v>
      </c>
      <c r="V430">
        <f t="shared" si="26"/>
        <v>853860</v>
      </c>
      <c r="W430">
        <f t="shared" si="27"/>
        <v>118744.32000000007</v>
      </c>
    </row>
    <row r="431" spans="1:23" x14ac:dyDescent="0.25">
      <c r="A431" s="204">
        <v>7203454549</v>
      </c>
      <c r="B431" s="204">
        <v>7203175930</v>
      </c>
      <c r="C431" s="126" t="s">
        <v>281</v>
      </c>
      <c r="D431" s="5">
        <v>6234000600</v>
      </c>
      <c r="E431" s="156">
        <v>44665</v>
      </c>
      <c r="F431" s="155">
        <v>28380</v>
      </c>
      <c r="G431" s="5" t="s">
        <v>1</v>
      </c>
      <c r="H431" s="6"/>
      <c r="I431" s="83">
        <v>0</v>
      </c>
      <c r="J431" s="71">
        <v>25.92</v>
      </c>
      <c r="K431" s="6"/>
      <c r="L431" s="6"/>
      <c r="M431" s="6"/>
      <c r="N431" s="6"/>
      <c r="O431" s="82">
        <v>32700</v>
      </c>
      <c r="P431" s="78" t="s">
        <v>280</v>
      </c>
      <c r="Q431" s="75">
        <v>25.92</v>
      </c>
      <c r="R431" s="79">
        <v>25.92</v>
      </c>
      <c r="S431" t="s">
        <v>433</v>
      </c>
      <c r="T431">
        <f t="shared" si="24"/>
        <v>735609.60000000009</v>
      </c>
      <c r="U431">
        <f t="shared" si="25"/>
        <v>4320</v>
      </c>
      <c r="V431">
        <f t="shared" si="26"/>
        <v>847584</v>
      </c>
      <c r="W431">
        <f t="shared" si="27"/>
        <v>111974.39999999991</v>
      </c>
    </row>
    <row r="432" spans="1:23" x14ac:dyDescent="0.25">
      <c r="A432" s="204">
        <v>7203454549</v>
      </c>
      <c r="B432" s="204">
        <v>7203175930</v>
      </c>
      <c r="C432" s="126" t="s">
        <v>281</v>
      </c>
      <c r="D432" s="5">
        <v>6234000600</v>
      </c>
      <c r="E432" s="156">
        <v>44665</v>
      </c>
      <c r="F432" s="155">
        <v>28380</v>
      </c>
      <c r="G432" s="5" t="s">
        <v>1</v>
      </c>
      <c r="H432" s="6"/>
      <c r="I432" s="83">
        <v>0</v>
      </c>
      <c r="J432" s="71">
        <v>26.02</v>
      </c>
      <c r="K432" s="6"/>
      <c r="L432" s="6"/>
      <c r="M432" s="6"/>
      <c r="N432" s="6"/>
      <c r="O432" s="82">
        <v>32700</v>
      </c>
      <c r="P432" s="78" t="s">
        <v>280</v>
      </c>
      <c r="Q432" s="75">
        <v>26.02</v>
      </c>
      <c r="R432" s="79">
        <v>26.02</v>
      </c>
      <c r="S432" t="s">
        <v>433</v>
      </c>
      <c r="T432">
        <f t="shared" si="24"/>
        <v>738447.6</v>
      </c>
      <c r="U432">
        <f t="shared" si="25"/>
        <v>4320</v>
      </c>
      <c r="V432">
        <f t="shared" si="26"/>
        <v>850854</v>
      </c>
      <c r="W432">
        <f t="shared" si="27"/>
        <v>112406.40000000002</v>
      </c>
    </row>
    <row r="433" spans="1:23" x14ac:dyDescent="0.25">
      <c r="A433" s="204">
        <v>7203454549</v>
      </c>
      <c r="B433" s="204">
        <v>7203175930</v>
      </c>
      <c r="C433" s="126" t="s">
        <v>281</v>
      </c>
      <c r="D433" s="5">
        <v>6234000600</v>
      </c>
      <c r="E433" s="156">
        <v>44665</v>
      </c>
      <c r="F433" s="155">
        <v>28380</v>
      </c>
      <c r="G433" s="5" t="s">
        <v>1</v>
      </c>
      <c r="H433" s="6"/>
      <c r="I433" s="83">
        <v>0</v>
      </c>
      <c r="J433" s="71">
        <v>26</v>
      </c>
      <c r="K433" s="6"/>
      <c r="L433" s="6"/>
      <c r="M433" s="6"/>
      <c r="N433" s="6"/>
      <c r="O433" s="82">
        <v>32700</v>
      </c>
      <c r="P433" s="78" t="s">
        <v>280</v>
      </c>
      <c r="Q433" s="75">
        <v>26</v>
      </c>
      <c r="R433" s="79">
        <v>26</v>
      </c>
      <c r="S433" t="s">
        <v>433</v>
      </c>
      <c r="T433">
        <f t="shared" si="24"/>
        <v>737880</v>
      </c>
      <c r="U433">
        <f t="shared" si="25"/>
        <v>4320</v>
      </c>
      <c r="V433">
        <f t="shared" si="26"/>
        <v>850200</v>
      </c>
      <c r="W433">
        <f t="shared" si="27"/>
        <v>112320</v>
      </c>
    </row>
    <row r="434" spans="1:23" x14ac:dyDescent="0.25">
      <c r="A434" s="204">
        <v>7203454549</v>
      </c>
      <c r="B434" s="204">
        <v>7203175930</v>
      </c>
      <c r="C434" s="126" t="s">
        <v>281</v>
      </c>
      <c r="D434" s="5">
        <v>6234000600</v>
      </c>
      <c r="E434" s="156">
        <v>44666</v>
      </c>
      <c r="F434" s="155">
        <v>28380</v>
      </c>
      <c r="G434" s="5" t="s">
        <v>1</v>
      </c>
      <c r="H434" s="6"/>
      <c r="I434" s="83">
        <v>0</v>
      </c>
      <c r="J434" s="73">
        <v>26.06</v>
      </c>
      <c r="K434" s="6"/>
      <c r="L434" s="6"/>
      <c r="M434" s="6"/>
      <c r="N434" s="6"/>
      <c r="O434" s="82">
        <v>32700</v>
      </c>
      <c r="P434" s="78" t="s">
        <v>280</v>
      </c>
      <c r="Q434" s="77">
        <v>26.06</v>
      </c>
      <c r="R434" s="81">
        <v>26.06</v>
      </c>
      <c r="S434" t="s">
        <v>433</v>
      </c>
      <c r="T434">
        <f t="shared" si="24"/>
        <v>739582.79999999993</v>
      </c>
      <c r="U434">
        <f t="shared" si="25"/>
        <v>4320</v>
      </c>
      <c r="V434">
        <f t="shared" si="26"/>
        <v>852162</v>
      </c>
      <c r="W434">
        <f t="shared" si="27"/>
        <v>112579.20000000007</v>
      </c>
    </row>
    <row r="435" spans="1:23" x14ac:dyDescent="0.25">
      <c r="A435" s="204">
        <v>7203454549</v>
      </c>
      <c r="B435" s="204">
        <v>7203175930</v>
      </c>
      <c r="C435" s="126" t="s">
        <v>281</v>
      </c>
      <c r="D435" s="5">
        <v>6234000600</v>
      </c>
      <c r="E435" s="156">
        <v>44666</v>
      </c>
      <c r="F435" s="155">
        <v>28380</v>
      </c>
      <c r="G435" s="5" t="s">
        <v>1</v>
      </c>
      <c r="H435" s="6"/>
      <c r="I435" s="83">
        <v>0</v>
      </c>
      <c r="J435" s="73">
        <v>26.18</v>
      </c>
      <c r="K435" s="6"/>
      <c r="L435" s="6"/>
      <c r="M435" s="6"/>
      <c r="N435" s="6"/>
      <c r="O435" s="82">
        <v>32700</v>
      </c>
      <c r="P435" s="78" t="s">
        <v>280</v>
      </c>
      <c r="Q435" s="77">
        <v>26.18</v>
      </c>
      <c r="R435" s="81">
        <v>26.18</v>
      </c>
      <c r="S435" t="s">
        <v>433</v>
      </c>
      <c r="T435">
        <f t="shared" si="24"/>
        <v>742988.4</v>
      </c>
      <c r="U435">
        <f t="shared" si="25"/>
        <v>4320</v>
      </c>
      <c r="V435">
        <f t="shared" si="26"/>
        <v>856086</v>
      </c>
      <c r="W435">
        <f t="shared" si="27"/>
        <v>113097.59999999998</v>
      </c>
    </row>
    <row r="436" spans="1:23" x14ac:dyDescent="0.25">
      <c r="A436" s="204">
        <v>7203454549</v>
      </c>
      <c r="B436" s="204">
        <v>7203175930</v>
      </c>
      <c r="C436" s="126" t="s">
        <v>281</v>
      </c>
      <c r="D436" s="5">
        <v>6234000600</v>
      </c>
      <c r="E436" s="156">
        <v>44666</v>
      </c>
      <c r="F436" s="155">
        <v>28380</v>
      </c>
      <c r="G436" s="5" t="s">
        <v>1</v>
      </c>
      <c r="H436" s="6"/>
      <c r="I436" s="83">
        <v>0</v>
      </c>
      <c r="J436" s="73">
        <v>26.1</v>
      </c>
      <c r="K436" s="6"/>
      <c r="L436" s="6"/>
      <c r="M436" s="6"/>
      <c r="N436" s="6"/>
      <c r="O436" s="82">
        <v>32700</v>
      </c>
      <c r="P436" s="78" t="s">
        <v>280</v>
      </c>
      <c r="Q436" s="77">
        <v>26.1</v>
      </c>
      <c r="R436" s="81">
        <v>26.1</v>
      </c>
      <c r="S436" t="s">
        <v>433</v>
      </c>
      <c r="T436">
        <f t="shared" si="24"/>
        <v>740718</v>
      </c>
      <c r="U436">
        <f t="shared" si="25"/>
        <v>4320</v>
      </c>
      <c r="V436">
        <f t="shared" si="26"/>
        <v>853470</v>
      </c>
      <c r="W436">
        <f t="shared" si="27"/>
        <v>112752</v>
      </c>
    </row>
    <row r="437" spans="1:23" x14ac:dyDescent="0.25">
      <c r="A437" s="204">
        <v>7203454549</v>
      </c>
      <c r="B437" s="204">
        <v>7203175930</v>
      </c>
      <c r="C437" s="126" t="s">
        <v>281</v>
      </c>
      <c r="D437" s="5">
        <v>6234000600</v>
      </c>
      <c r="E437" s="156">
        <v>44666</v>
      </c>
      <c r="F437" s="155">
        <v>28380</v>
      </c>
      <c r="G437" s="5" t="s">
        <v>1</v>
      </c>
      <c r="H437" s="6"/>
      <c r="I437" s="83">
        <v>0</v>
      </c>
      <c r="J437" s="73">
        <v>25.98</v>
      </c>
      <c r="K437" s="6"/>
      <c r="L437" s="6"/>
      <c r="M437" s="6"/>
      <c r="N437" s="6"/>
      <c r="O437" s="82">
        <v>32700</v>
      </c>
      <c r="P437" s="78" t="s">
        <v>280</v>
      </c>
      <c r="Q437" s="77">
        <v>25.98</v>
      </c>
      <c r="R437" s="81">
        <v>25.98</v>
      </c>
      <c r="S437" t="s">
        <v>433</v>
      </c>
      <c r="T437">
        <f t="shared" si="24"/>
        <v>737312.4</v>
      </c>
      <c r="U437">
        <f t="shared" si="25"/>
        <v>4320</v>
      </c>
      <c r="V437">
        <f t="shared" si="26"/>
        <v>849546</v>
      </c>
      <c r="W437">
        <f t="shared" si="27"/>
        <v>112233.59999999998</v>
      </c>
    </row>
    <row r="438" spans="1:23" x14ac:dyDescent="0.25">
      <c r="A438" s="204">
        <v>7203454549</v>
      </c>
      <c r="B438" s="204">
        <v>7203175930</v>
      </c>
      <c r="C438" s="126" t="s">
        <v>281</v>
      </c>
      <c r="D438" s="5">
        <v>6234000600</v>
      </c>
      <c r="E438" s="156">
        <v>44666</v>
      </c>
      <c r="F438" s="155">
        <v>28380</v>
      </c>
      <c r="G438" s="5" t="s">
        <v>1</v>
      </c>
      <c r="H438" s="6"/>
      <c r="I438" s="83">
        <v>0</v>
      </c>
      <c r="J438" s="73">
        <v>26</v>
      </c>
      <c r="K438" s="6"/>
      <c r="L438" s="6"/>
      <c r="M438" s="6"/>
      <c r="N438" s="6"/>
      <c r="O438" s="82">
        <v>32700</v>
      </c>
      <c r="P438" s="78" t="s">
        <v>280</v>
      </c>
      <c r="Q438" s="77">
        <v>26</v>
      </c>
      <c r="R438" s="81">
        <v>26</v>
      </c>
      <c r="S438" t="s">
        <v>433</v>
      </c>
      <c r="T438">
        <f t="shared" si="24"/>
        <v>737880</v>
      </c>
      <c r="U438">
        <f t="shared" si="25"/>
        <v>4320</v>
      </c>
      <c r="V438">
        <f t="shared" si="26"/>
        <v>850200</v>
      </c>
      <c r="W438">
        <f t="shared" si="27"/>
        <v>112320</v>
      </c>
    </row>
    <row r="439" spans="1:23" x14ac:dyDescent="0.25">
      <c r="A439" s="204">
        <v>7203454549</v>
      </c>
      <c r="B439" s="204">
        <v>7203175930</v>
      </c>
      <c r="C439" s="126" t="s">
        <v>281</v>
      </c>
      <c r="D439" s="5">
        <v>6234000600</v>
      </c>
      <c r="E439" s="156">
        <v>44666</v>
      </c>
      <c r="F439" s="155">
        <v>28380</v>
      </c>
      <c r="G439" s="5" t="s">
        <v>1</v>
      </c>
      <c r="H439" s="6"/>
      <c r="I439" s="83">
        <v>0</v>
      </c>
      <c r="J439" s="73">
        <v>26.56</v>
      </c>
      <c r="K439" s="6"/>
      <c r="L439" s="6"/>
      <c r="M439" s="6"/>
      <c r="N439" s="6"/>
      <c r="O439" s="82">
        <v>32700</v>
      </c>
      <c r="P439" s="78" t="s">
        <v>280</v>
      </c>
      <c r="Q439" s="77">
        <v>26.56</v>
      </c>
      <c r="R439" s="81">
        <v>26.56</v>
      </c>
      <c r="S439" t="s">
        <v>433</v>
      </c>
      <c r="T439">
        <f t="shared" si="24"/>
        <v>753772.79999999993</v>
      </c>
      <c r="U439">
        <f t="shared" si="25"/>
        <v>4320</v>
      </c>
      <c r="V439">
        <f t="shared" si="26"/>
        <v>868512</v>
      </c>
      <c r="W439">
        <f t="shared" si="27"/>
        <v>114739.20000000007</v>
      </c>
    </row>
    <row r="440" spans="1:23" x14ac:dyDescent="0.25">
      <c r="A440" s="204">
        <v>7203454549</v>
      </c>
      <c r="B440" s="204">
        <v>7203175930</v>
      </c>
      <c r="C440" s="126" t="s">
        <v>281</v>
      </c>
      <c r="D440" s="5">
        <v>6234000600</v>
      </c>
      <c r="E440" s="156">
        <v>44667</v>
      </c>
      <c r="F440" s="155">
        <v>28380</v>
      </c>
      <c r="G440" s="5" t="s">
        <v>1</v>
      </c>
      <c r="H440" s="6"/>
      <c r="I440" s="83">
        <v>0</v>
      </c>
      <c r="J440" s="73">
        <v>25.06</v>
      </c>
      <c r="K440" s="6"/>
      <c r="L440" s="6"/>
      <c r="M440" s="6"/>
      <c r="N440" s="6"/>
      <c r="O440" s="82">
        <v>32700</v>
      </c>
      <c r="P440" s="78" t="s">
        <v>280</v>
      </c>
      <c r="Q440" s="77">
        <v>25.06</v>
      </c>
      <c r="R440" s="81">
        <v>25.06</v>
      </c>
      <c r="S440" t="s">
        <v>433</v>
      </c>
      <c r="T440">
        <f t="shared" si="24"/>
        <v>711202.79999999993</v>
      </c>
      <c r="U440">
        <f t="shared" si="25"/>
        <v>4320</v>
      </c>
      <c r="V440">
        <f t="shared" si="26"/>
        <v>819462</v>
      </c>
      <c r="W440">
        <f t="shared" si="27"/>
        <v>108259.20000000007</v>
      </c>
    </row>
    <row r="441" spans="1:23" x14ac:dyDescent="0.25">
      <c r="A441" s="204">
        <v>7203454549</v>
      </c>
      <c r="B441" s="204">
        <v>7203175930</v>
      </c>
      <c r="C441" s="126" t="s">
        <v>281</v>
      </c>
      <c r="D441" s="5">
        <v>6234000600</v>
      </c>
      <c r="E441" s="156">
        <v>44667</v>
      </c>
      <c r="F441" s="155">
        <v>28380</v>
      </c>
      <c r="G441" s="5" t="s">
        <v>1</v>
      </c>
      <c r="H441" s="6"/>
      <c r="I441" s="83">
        <v>0</v>
      </c>
      <c r="J441" s="73">
        <v>24.14</v>
      </c>
      <c r="K441" s="6"/>
      <c r="L441" s="6"/>
      <c r="M441" s="6"/>
      <c r="N441" s="6"/>
      <c r="O441" s="82">
        <v>32700</v>
      </c>
      <c r="P441" s="78" t="s">
        <v>280</v>
      </c>
      <c r="Q441" s="77">
        <v>24.14</v>
      </c>
      <c r="R441" s="81">
        <v>24.14</v>
      </c>
      <c r="S441" t="s">
        <v>433</v>
      </c>
      <c r="T441">
        <f t="shared" si="24"/>
        <v>685093.20000000007</v>
      </c>
      <c r="U441">
        <f t="shared" si="25"/>
        <v>4320</v>
      </c>
      <c r="V441">
        <f t="shared" si="26"/>
        <v>789378</v>
      </c>
      <c r="W441">
        <f t="shared" si="27"/>
        <v>104284.79999999993</v>
      </c>
    </row>
    <row r="442" spans="1:23" x14ac:dyDescent="0.25">
      <c r="A442" s="204">
        <v>7203454549</v>
      </c>
      <c r="B442" s="204">
        <v>7203175930</v>
      </c>
      <c r="C442" s="126" t="s">
        <v>281</v>
      </c>
      <c r="D442" s="5">
        <v>6234000600</v>
      </c>
      <c r="E442" s="156">
        <v>44667</v>
      </c>
      <c r="F442" s="155">
        <v>28380</v>
      </c>
      <c r="G442" s="5" t="s">
        <v>1</v>
      </c>
      <c r="H442" s="6"/>
      <c r="I442" s="83">
        <v>0</v>
      </c>
      <c r="J442" s="73">
        <v>25.12</v>
      </c>
      <c r="K442" s="6"/>
      <c r="L442" s="6"/>
      <c r="M442" s="6"/>
      <c r="N442" s="6"/>
      <c r="O442" s="82">
        <v>32700</v>
      </c>
      <c r="P442" s="78" t="s">
        <v>280</v>
      </c>
      <c r="Q442" s="77">
        <v>25.12</v>
      </c>
      <c r="R442" s="81">
        <v>25.12</v>
      </c>
      <c r="S442" t="s">
        <v>433</v>
      </c>
      <c r="T442">
        <f t="shared" si="24"/>
        <v>712905.6</v>
      </c>
      <c r="U442">
        <f t="shared" si="25"/>
        <v>4320</v>
      </c>
      <c r="V442">
        <f t="shared" si="26"/>
        <v>821424</v>
      </c>
      <c r="W442">
        <f t="shared" si="27"/>
        <v>108518.40000000002</v>
      </c>
    </row>
    <row r="443" spans="1:23" x14ac:dyDescent="0.25">
      <c r="A443" s="204">
        <v>7203454549</v>
      </c>
      <c r="B443" s="204">
        <v>7203175930</v>
      </c>
      <c r="C443" s="126" t="s">
        <v>281</v>
      </c>
      <c r="D443" s="5">
        <v>6234000600</v>
      </c>
      <c r="E443" s="156">
        <v>44667</v>
      </c>
      <c r="F443" s="155">
        <v>28380</v>
      </c>
      <c r="G443" s="5" t="s">
        <v>1</v>
      </c>
      <c r="H443" s="6"/>
      <c r="I443" s="83">
        <v>0</v>
      </c>
      <c r="J443" s="73">
        <v>25.58</v>
      </c>
      <c r="K443" s="6"/>
      <c r="L443" s="6"/>
      <c r="M443" s="6"/>
      <c r="N443" s="6"/>
      <c r="O443" s="82">
        <v>32700</v>
      </c>
      <c r="P443" s="78" t="s">
        <v>280</v>
      </c>
      <c r="Q443" s="77">
        <v>25.58</v>
      </c>
      <c r="R443" s="81">
        <v>25.58</v>
      </c>
      <c r="S443" t="s">
        <v>433</v>
      </c>
      <c r="T443">
        <f t="shared" si="24"/>
        <v>725960.39999999991</v>
      </c>
      <c r="U443">
        <f t="shared" si="25"/>
        <v>4320</v>
      </c>
      <c r="V443">
        <f t="shared" si="26"/>
        <v>836466</v>
      </c>
      <c r="W443">
        <f t="shared" si="27"/>
        <v>110505.60000000009</v>
      </c>
    </row>
    <row r="444" spans="1:23" x14ac:dyDescent="0.25">
      <c r="A444" s="204">
        <v>7203454549</v>
      </c>
      <c r="B444" s="204">
        <v>7203175930</v>
      </c>
      <c r="C444" s="126" t="s">
        <v>281</v>
      </c>
      <c r="D444" s="5">
        <v>6234000600</v>
      </c>
      <c r="E444" s="156">
        <v>44668</v>
      </c>
      <c r="F444" s="155">
        <v>28380</v>
      </c>
      <c r="G444" s="5" t="s">
        <v>1</v>
      </c>
      <c r="H444" s="6"/>
      <c r="I444" s="83">
        <v>0</v>
      </c>
      <c r="J444" s="73">
        <v>26.28</v>
      </c>
      <c r="K444" s="6"/>
      <c r="L444" s="6"/>
      <c r="M444" s="6"/>
      <c r="N444" s="6"/>
      <c r="O444" s="82">
        <v>32700</v>
      </c>
      <c r="P444" s="78" t="s">
        <v>280</v>
      </c>
      <c r="Q444" s="77">
        <v>26.28</v>
      </c>
      <c r="R444" s="81">
        <v>26.28</v>
      </c>
      <c r="S444" t="s">
        <v>433</v>
      </c>
      <c r="T444">
        <f t="shared" si="24"/>
        <v>745826.4</v>
      </c>
      <c r="U444">
        <f t="shared" si="25"/>
        <v>4320</v>
      </c>
      <c r="V444">
        <f t="shared" si="26"/>
        <v>859356</v>
      </c>
      <c r="W444">
        <f t="shared" si="27"/>
        <v>113529.59999999998</v>
      </c>
    </row>
    <row r="445" spans="1:23" x14ac:dyDescent="0.25">
      <c r="A445" s="204">
        <v>7203454549</v>
      </c>
      <c r="B445" s="204">
        <v>7203175930</v>
      </c>
      <c r="C445" s="126" t="s">
        <v>281</v>
      </c>
      <c r="D445" s="5">
        <v>6234000600</v>
      </c>
      <c r="E445" s="156">
        <v>44668</v>
      </c>
      <c r="F445" s="155">
        <v>28380</v>
      </c>
      <c r="G445" s="5" t="s">
        <v>1</v>
      </c>
      <c r="H445" s="6"/>
      <c r="I445" s="83">
        <v>0</v>
      </c>
      <c r="J445" s="73">
        <v>26.72</v>
      </c>
      <c r="K445" s="6"/>
      <c r="L445" s="6"/>
      <c r="M445" s="6"/>
      <c r="N445" s="6"/>
      <c r="O445" s="82">
        <v>32700</v>
      </c>
      <c r="P445" s="78" t="s">
        <v>280</v>
      </c>
      <c r="Q445" s="77">
        <v>26.72</v>
      </c>
      <c r="R445" s="81">
        <v>26.72</v>
      </c>
      <c r="S445" t="s">
        <v>433</v>
      </c>
      <c r="T445">
        <f t="shared" si="24"/>
        <v>758313.6</v>
      </c>
      <c r="U445">
        <f t="shared" si="25"/>
        <v>4320</v>
      </c>
      <c r="V445">
        <f t="shared" si="26"/>
        <v>873744</v>
      </c>
      <c r="W445">
        <f t="shared" si="27"/>
        <v>115430.40000000002</v>
      </c>
    </row>
    <row r="446" spans="1:23" x14ac:dyDescent="0.25">
      <c r="A446" s="204">
        <v>7203454549</v>
      </c>
      <c r="B446" s="204">
        <v>7203175930</v>
      </c>
      <c r="C446" s="126" t="s">
        <v>281</v>
      </c>
      <c r="D446" s="5">
        <v>6234000600</v>
      </c>
      <c r="E446" s="156">
        <v>44668</v>
      </c>
      <c r="F446" s="155">
        <v>28380</v>
      </c>
      <c r="G446" s="5" t="s">
        <v>1</v>
      </c>
      <c r="H446" s="6"/>
      <c r="I446" s="83">
        <v>0</v>
      </c>
      <c r="J446" s="73">
        <v>23.74</v>
      </c>
      <c r="K446" s="6"/>
      <c r="L446" s="6"/>
      <c r="M446" s="6"/>
      <c r="N446" s="6"/>
      <c r="O446" s="82">
        <v>32700</v>
      </c>
      <c r="P446" s="78" t="s">
        <v>280</v>
      </c>
      <c r="Q446" s="77">
        <v>23.74</v>
      </c>
      <c r="R446" s="81">
        <v>23.74</v>
      </c>
      <c r="S446" t="s">
        <v>433</v>
      </c>
      <c r="T446">
        <f t="shared" si="24"/>
        <v>673741.2</v>
      </c>
      <c r="U446">
        <f t="shared" si="25"/>
        <v>4320</v>
      </c>
      <c r="V446">
        <f t="shared" si="26"/>
        <v>776298</v>
      </c>
      <c r="W446">
        <f t="shared" si="27"/>
        <v>102556.80000000005</v>
      </c>
    </row>
    <row r="447" spans="1:23" x14ac:dyDescent="0.25">
      <c r="A447" s="204">
        <v>7203454549</v>
      </c>
      <c r="B447" s="204">
        <v>7203175930</v>
      </c>
      <c r="C447" s="126" t="s">
        <v>281</v>
      </c>
      <c r="D447" s="5">
        <v>6234000600</v>
      </c>
      <c r="E447" s="156">
        <v>44668</v>
      </c>
      <c r="F447" s="155">
        <v>28380</v>
      </c>
      <c r="G447" s="5" t="s">
        <v>1</v>
      </c>
      <c r="H447" s="6"/>
      <c r="I447" s="83">
        <v>0</v>
      </c>
      <c r="J447" s="73">
        <v>25.96</v>
      </c>
      <c r="K447" s="6"/>
      <c r="L447" s="6"/>
      <c r="M447" s="6"/>
      <c r="N447" s="6"/>
      <c r="O447" s="82">
        <v>32700</v>
      </c>
      <c r="P447" s="78" t="s">
        <v>280</v>
      </c>
      <c r="Q447" s="77">
        <v>25.96</v>
      </c>
      <c r="R447" s="81">
        <v>25.96</v>
      </c>
      <c r="S447" t="s">
        <v>433</v>
      </c>
      <c r="T447">
        <f t="shared" si="24"/>
        <v>736744.8</v>
      </c>
      <c r="U447">
        <f t="shared" si="25"/>
        <v>4320</v>
      </c>
      <c r="V447">
        <f t="shared" si="26"/>
        <v>848892</v>
      </c>
      <c r="W447">
        <f t="shared" si="27"/>
        <v>112147.19999999995</v>
      </c>
    </row>
    <row r="448" spans="1:23" x14ac:dyDescent="0.25">
      <c r="A448" s="204">
        <v>7203454549</v>
      </c>
      <c r="B448" s="204">
        <v>7203175930</v>
      </c>
      <c r="C448" s="126" t="s">
        <v>281</v>
      </c>
      <c r="D448" s="5">
        <v>6234000600</v>
      </c>
      <c r="E448" s="156">
        <v>44669</v>
      </c>
      <c r="F448" s="155">
        <v>28380</v>
      </c>
      <c r="G448" s="5" t="s">
        <v>1</v>
      </c>
      <c r="H448" s="6"/>
      <c r="I448" s="83">
        <v>0</v>
      </c>
      <c r="J448" s="73">
        <v>26</v>
      </c>
      <c r="K448" s="6"/>
      <c r="L448" s="6"/>
      <c r="M448" s="6"/>
      <c r="N448" s="6"/>
      <c r="O448" s="82">
        <v>32700</v>
      </c>
      <c r="P448" s="78" t="s">
        <v>280</v>
      </c>
      <c r="Q448" s="77">
        <v>26</v>
      </c>
      <c r="R448" s="81">
        <v>26</v>
      </c>
      <c r="S448" t="s">
        <v>433</v>
      </c>
      <c r="T448">
        <f t="shared" si="24"/>
        <v>737880</v>
      </c>
      <c r="U448">
        <f t="shared" si="25"/>
        <v>4320</v>
      </c>
      <c r="V448">
        <f t="shared" si="26"/>
        <v>850200</v>
      </c>
      <c r="W448">
        <f t="shared" si="27"/>
        <v>112320</v>
      </c>
    </row>
    <row r="449" spans="1:23" x14ac:dyDescent="0.25">
      <c r="A449" s="204">
        <v>7203454549</v>
      </c>
      <c r="B449" s="204">
        <v>7203175930</v>
      </c>
      <c r="C449" s="126" t="s">
        <v>281</v>
      </c>
      <c r="D449" s="5">
        <v>6234000600</v>
      </c>
      <c r="E449" s="156">
        <v>44669</v>
      </c>
      <c r="F449" s="155">
        <v>28380</v>
      </c>
      <c r="G449" s="5" t="s">
        <v>1</v>
      </c>
      <c r="H449" s="6"/>
      <c r="I449" s="83">
        <v>0</v>
      </c>
      <c r="J449" s="73">
        <v>25.82</v>
      </c>
      <c r="K449" s="6"/>
      <c r="L449" s="6"/>
      <c r="M449" s="6"/>
      <c r="N449" s="6"/>
      <c r="O449" s="82">
        <v>32700</v>
      </c>
      <c r="P449" s="78" t="s">
        <v>280</v>
      </c>
      <c r="Q449" s="77">
        <v>25.82</v>
      </c>
      <c r="R449" s="81">
        <v>25.82</v>
      </c>
      <c r="S449" t="s">
        <v>433</v>
      </c>
      <c r="T449">
        <f t="shared" si="24"/>
        <v>732771.6</v>
      </c>
      <c r="U449">
        <f t="shared" si="25"/>
        <v>4320</v>
      </c>
      <c r="V449">
        <f t="shared" si="26"/>
        <v>844314</v>
      </c>
      <c r="W449">
        <f t="shared" si="27"/>
        <v>111542.40000000002</v>
      </c>
    </row>
    <row r="450" spans="1:23" x14ac:dyDescent="0.25">
      <c r="A450" s="204">
        <v>7203454549</v>
      </c>
      <c r="B450" s="204">
        <v>7203175930</v>
      </c>
      <c r="C450" s="126" t="s">
        <v>281</v>
      </c>
      <c r="D450" s="5">
        <v>6234000600</v>
      </c>
      <c r="E450" s="156">
        <v>44669</v>
      </c>
      <c r="F450" s="155">
        <v>28380</v>
      </c>
      <c r="G450" s="5" t="s">
        <v>1</v>
      </c>
      <c r="H450" s="6"/>
      <c r="I450" s="83">
        <v>0</v>
      </c>
      <c r="J450" s="73">
        <v>25.34</v>
      </c>
      <c r="K450" s="6"/>
      <c r="L450" s="6"/>
      <c r="M450" s="6"/>
      <c r="N450" s="6"/>
      <c r="O450" s="82">
        <v>32700</v>
      </c>
      <c r="P450" s="78" t="s">
        <v>280</v>
      </c>
      <c r="Q450" s="77">
        <v>25.34</v>
      </c>
      <c r="R450" s="81">
        <v>25.34</v>
      </c>
      <c r="S450" t="s">
        <v>433</v>
      </c>
      <c r="T450">
        <f t="shared" si="24"/>
        <v>719149.2</v>
      </c>
      <c r="U450">
        <f t="shared" si="25"/>
        <v>4320</v>
      </c>
      <c r="V450">
        <f t="shared" si="26"/>
        <v>828618</v>
      </c>
      <c r="W450">
        <f t="shared" si="27"/>
        <v>109468.80000000005</v>
      </c>
    </row>
    <row r="451" spans="1:23" x14ac:dyDescent="0.25">
      <c r="A451" s="204">
        <v>7203454549</v>
      </c>
      <c r="B451" s="204">
        <v>7203175930</v>
      </c>
      <c r="C451" s="126" t="s">
        <v>281</v>
      </c>
      <c r="D451" s="5">
        <v>6234000600</v>
      </c>
      <c r="E451" s="156">
        <v>44670</v>
      </c>
      <c r="F451" s="155">
        <v>28380</v>
      </c>
      <c r="G451" s="5" t="s">
        <v>1</v>
      </c>
      <c r="H451" s="6"/>
      <c r="I451" s="83">
        <v>0</v>
      </c>
      <c r="J451" s="72">
        <v>25.9</v>
      </c>
      <c r="K451" s="6"/>
      <c r="L451" s="6"/>
      <c r="M451" s="6"/>
      <c r="N451" s="6"/>
      <c r="O451" s="82">
        <v>32700</v>
      </c>
      <c r="P451" s="78" t="s">
        <v>280</v>
      </c>
      <c r="Q451" s="76">
        <v>25.9</v>
      </c>
      <c r="R451" s="80">
        <v>25.9</v>
      </c>
      <c r="S451" t="s">
        <v>433</v>
      </c>
      <c r="T451">
        <f t="shared" ref="T451:T514" si="28">(I451+F451)*J451</f>
        <v>735042</v>
      </c>
      <c r="U451">
        <f t="shared" ref="U451:U514" si="29">O451-(F451+I451)</f>
        <v>4320</v>
      </c>
      <c r="V451">
        <f t="shared" ref="V451:V514" si="30">O451*J451</f>
        <v>846930</v>
      </c>
      <c r="W451">
        <f t="shared" ref="W451:W514" si="31">V451-T451</f>
        <v>111888</v>
      </c>
    </row>
    <row r="452" spans="1:23" x14ac:dyDescent="0.25">
      <c r="A452" s="204">
        <v>7203454549</v>
      </c>
      <c r="B452" s="204">
        <v>7203175930</v>
      </c>
      <c r="C452" s="126" t="s">
        <v>281</v>
      </c>
      <c r="D452" s="5">
        <v>6234000600</v>
      </c>
      <c r="E452" s="156">
        <v>44670</v>
      </c>
      <c r="F452" s="155">
        <v>28380</v>
      </c>
      <c r="G452" s="5" t="s">
        <v>1</v>
      </c>
      <c r="H452" s="6"/>
      <c r="I452" s="83">
        <v>0</v>
      </c>
      <c r="J452" s="72">
        <v>25.58</v>
      </c>
      <c r="K452" s="6"/>
      <c r="L452" s="6"/>
      <c r="M452" s="6"/>
      <c r="N452" s="6"/>
      <c r="O452" s="82">
        <v>32700</v>
      </c>
      <c r="P452" s="78" t="s">
        <v>280</v>
      </c>
      <c r="Q452" s="76">
        <v>25.58</v>
      </c>
      <c r="R452" s="80">
        <v>25.58</v>
      </c>
      <c r="S452" t="s">
        <v>433</v>
      </c>
      <c r="T452">
        <f t="shared" si="28"/>
        <v>725960.39999999991</v>
      </c>
      <c r="U452">
        <f t="shared" si="29"/>
        <v>4320</v>
      </c>
      <c r="V452">
        <f t="shared" si="30"/>
        <v>836466</v>
      </c>
      <c r="W452">
        <f t="shared" si="31"/>
        <v>110505.60000000009</v>
      </c>
    </row>
    <row r="453" spans="1:23" x14ac:dyDescent="0.25">
      <c r="A453" s="204">
        <v>7203454549</v>
      </c>
      <c r="B453" s="204">
        <v>7203175930</v>
      </c>
      <c r="C453" s="126" t="s">
        <v>281</v>
      </c>
      <c r="D453" s="5">
        <v>6234000600</v>
      </c>
      <c r="E453" s="156">
        <v>44670</v>
      </c>
      <c r="F453" s="155">
        <v>28380</v>
      </c>
      <c r="G453" s="5" t="s">
        <v>1</v>
      </c>
      <c r="H453" s="6"/>
      <c r="I453" s="83">
        <v>0</v>
      </c>
      <c r="J453" s="72">
        <v>26.36</v>
      </c>
      <c r="K453" s="6"/>
      <c r="L453" s="6"/>
      <c r="M453" s="6"/>
      <c r="N453" s="6"/>
      <c r="O453" s="82">
        <v>32700</v>
      </c>
      <c r="P453" s="78" t="s">
        <v>280</v>
      </c>
      <c r="Q453" s="76">
        <v>26.36</v>
      </c>
      <c r="R453" s="80">
        <v>26.36</v>
      </c>
      <c r="S453" t="s">
        <v>433</v>
      </c>
      <c r="T453">
        <f t="shared" si="28"/>
        <v>748096.79999999993</v>
      </c>
      <c r="U453">
        <f t="shared" si="29"/>
        <v>4320</v>
      </c>
      <c r="V453">
        <f t="shared" si="30"/>
        <v>861972</v>
      </c>
      <c r="W453">
        <f t="shared" si="31"/>
        <v>113875.20000000007</v>
      </c>
    </row>
    <row r="454" spans="1:23" x14ac:dyDescent="0.25">
      <c r="A454" s="204">
        <v>7203454549</v>
      </c>
      <c r="B454" s="204">
        <v>7203175930</v>
      </c>
      <c r="C454" s="126" t="s">
        <v>281</v>
      </c>
      <c r="D454" s="5">
        <v>6234000600</v>
      </c>
      <c r="E454" s="156">
        <v>44671</v>
      </c>
      <c r="F454" s="155">
        <v>28380</v>
      </c>
      <c r="G454" s="5" t="s">
        <v>1</v>
      </c>
      <c r="H454" s="6"/>
      <c r="I454" s="83">
        <v>0</v>
      </c>
      <c r="J454" s="72">
        <v>25.34</v>
      </c>
      <c r="K454" s="6"/>
      <c r="L454" s="6"/>
      <c r="M454" s="6"/>
      <c r="N454" s="6"/>
      <c r="O454" s="82">
        <v>32700</v>
      </c>
      <c r="P454" s="78" t="s">
        <v>280</v>
      </c>
      <c r="Q454" s="76">
        <v>25.34</v>
      </c>
      <c r="R454" s="80">
        <v>25.34</v>
      </c>
      <c r="S454" t="s">
        <v>433</v>
      </c>
      <c r="T454">
        <f t="shared" si="28"/>
        <v>719149.2</v>
      </c>
      <c r="U454">
        <f t="shared" si="29"/>
        <v>4320</v>
      </c>
      <c r="V454">
        <f t="shared" si="30"/>
        <v>828618</v>
      </c>
      <c r="W454">
        <f t="shared" si="31"/>
        <v>109468.80000000005</v>
      </c>
    </row>
    <row r="455" spans="1:23" x14ac:dyDescent="0.25">
      <c r="A455" s="204">
        <v>7203454549</v>
      </c>
      <c r="B455" s="204">
        <v>7203175930</v>
      </c>
      <c r="C455" s="126" t="s">
        <v>281</v>
      </c>
      <c r="D455" s="5">
        <v>6234000600</v>
      </c>
      <c r="E455" s="156">
        <v>44671</v>
      </c>
      <c r="F455" s="155">
        <v>28380</v>
      </c>
      <c r="G455" s="5" t="s">
        <v>1</v>
      </c>
      <c r="H455" s="6"/>
      <c r="I455" s="83">
        <v>0</v>
      </c>
      <c r="J455" s="72">
        <v>25.66</v>
      </c>
      <c r="K455" s="6"/>
      <c r="L455" s="6"/>
      <c r="M455" s="6"/>
      <c r="N455" s="6"/>
      <c r="O455" s="82">
        <v>32700</v>
      </c>
      <c r="P455" s="78" t="s">
        <v>280</v>
      </c>
      <c r="Q455" s="76">
        <v>25.66</v>
      </c>
      <c r="R455" s="80">
        <v>25.66</v>
      </c>
      <c r="S455" t="s">
        <v>433</v>
      </c>
      <c r="T455">
        <f t="shared" si="28"/>
        <v>728230.8</v>
      </c>
      <c r="U455">
        <f t="shared" si="29"/>
        <v>4320</v>
      </c>
      <c r="V455">
        <f t="shared" si="30"/>
        <v>839082</v>
      </c>
      <c r="W455">
        <f t="shared" si="31"/>
        <v>110851.19999999995</v>
      </c>
    </row>
    <row r="456" spans="1:23" x14ac:dyDescent="0.25">
      <c r="A456" s="204">
        <v>7203454549</v>
      </c>
      <c r="B456" s="204">
        <v>7203175930</v>
      </c>
      <c r="C456" s="126" t="s">
        <v>281</v>
      </c>
      <c r="D456" s="5">
        <v>6234000600</v>
      </c>
      <c r="E456" s="156">
        <v>44671</v>
      </c>
      <c r="F456" s="155">
        <v>28380</v>
      </c>
      <c r="G456" s="5" t="s">
        <v>1</v>
      </c>
      <c r="H456" s="6"/>
      <c r="I456" s="83">
        <v>0</v>
      </c>
      <c r="J456" s="72">
        <v>24.96</v>
      </c>
      <c r="K456" s="6"/>
      <c r="L456" s="6"/>
      <c r="M456" s="6"/>
      <c r="N456" s="6"/>
      <c r="O456" s="82">
        <v>32700</v>
      </c>
      <c r="P456" s="78" t="s">
        <v>280</v>
      </c>
      <c r="Q456" s="76">
        <v>24.96</v>
      </c>
      <c r="R456" s="80">
        <v>24.96</v>
      </c>
      <c r="S456" t="s">
        <v>433</v>
      </c>
      <c r="T456">
        <f t="shared" si="28"/>
        <v>708364.80000000005</v>
      </c>
      <c r="U456">
        <f t="shared" si="29"/>
        <v>4320</v>
      </c>
      <c r="V456">
        <f t="shared" si="30"/>
        <v>816192</v>
      </c>
      <c r="W456">
        <f t="shared" si="31"/>
        <v>107827.19999999995</v>
      </c>
    </row>
    <row r="457" spans="1:23" x14ac:dyDescent="0.25">
      <c r="A457" s="204">
        <v>7203454549</v>
      </c>
      <c r="B457" s="204">
        <v>7203175930</v>
      </c>
      <c r="C457" s="126" t="s">
        <v>281</v>
      </c>
      <c r="D457" s="5">
        <v>6234000600</v>
      </c>
      <c r="E457" s="156">
        <v>44671</v>
      </c>
      <c r="F457" s="155">
        <v>28380</v>
      </c>
      <c r="G457" s="5" t="s">
        <v>1</v>
      </c>
      <c r="H457" s="6"/>
      <c r="I457" s="83">
        <v>0</v>
      </c>
      <c r="J457" s="72">
        <v>25.18</v>
      </c>
      <c r="K457" s="6"/>
      <c r="L457" s="6"/>
      <c r="M457" s="6"/>
      <c r="N457" s="6"/>
      <c r="O457" s="82">
        <v>32700</v>
      </c>
      <c r="P457" s="78" t="s">
        <v>280</v>
      </c>
      <c r="Q457" s="76">
        <v>25.18</v>
      </c>
      <c r="R457" s="80">
        <v>25.18</v>
      </c>
      <c r="S457" t="s">
        <v>433</v>
      </c>
      <c r="T457">
        <f t="shared" si="28"/>
        <v>714608.4</v>
      </c>
      <c r="U457">
        <f t="shared" si="29"/>
        <v>4320</v>
      </c>
      <c r="V457">
        <f t="shared" si="30"/>
        <v>823386</v>
      </c>
      <c r="W457">
        <f t="shared" si="31"/>
        <v>108777.59999999998</v>
      </c>
    </row>
    <row r="458" spans="1:23" x14ac:dyDescent="0.25">
      <c r="A458" s="204">
        <v>7203454549</v>
      </c>
      <c r="B458" s="204">
        <v>7203175930</v>
      </c>
      <c r="C458" s="126" t="s">
        <v>281</v>
      </c>
      <c r="D458" s="5">
        <v>6234000600</v>
      </c>
      <c r="E458" s="156">
        <v>44672</v>
      </c>
      <c r="F458" s="155">
        <v>28380</v>
      </c>
      <c r="G458" s="5" t="s">
        <v>1</v>
      </c>
      <c r="H458" s="6"/>
      <c r="I458" s="83">
        <v>0</v>
      </c>
      <c r="J458" s="74">
        <v>26.5</v>
      </c>
      <c r="K458" s="6"/>
      <c r="L458" s="6"/>
      <c r="M458" s="6"/>
      <c r="N458" s="6"/>
      <c r="O458" s="92">
        <v>32700</v>
      </c>
      <c r="P458" s="91" t="s">
        <v>280</v>
      </c>
      <c r="Q458" s="96">
        <v>26.5</v>
      </c>
      <c r="R458" s="96">
        <v>26.5</v>
      </c>
      <c r="S458" t="s">
        <v>433</v>
      </c>
      <c r="T458">
        <f t="shared" si="28"/>
        <v>752070</v>
      </c>
      <c r="U458">
        <f t="shared" si="29"/>
        <v>4320</v>
      </c>
      <c r="V458">
        <f t="shared" si="30"/>
        <v>866550</v>
      </c>
      <c r="W458">
        <f t="shared" si="31"/>
        <v>114480</v>
      </c>
    </row>
    <row r="459" spans="1:23" x14ac:dyDescent="0.25">
      <c r="A459" s="204">
        <v>7203454549</v>
      </c>
      <c r="B459" s="204">
        <v>7203175930</v>
      </c>
      <c r="C459" s="126" t="s">
        <v>282</v>
      </c>
      <c r="D459" s="5">
        <v>6234000600</v>
      </c>
      <c r="E459" s="156">
        <v>44665</v>
      </c>
      <c r="F459" s="155">
        <v>28136</v>
      </c>
      <c r="G459" s="5" t="s">
        <v>1</v>
      </c>
      <c r="H459" s="6"/>
      <c r="I459" s="87">
        <v>0</v>
      </c>
      <c r="J459" s="84">
        <v>26.22</v>
      </c>
      <c r="K459" s="6"/>
      <c r="L459" s="6"/>
      <c r="M459" s="6"/>
      <c r="N459" s="6"/>
      <c r="O459" s="92">
        <v>32700</v>
      </c>
      <c r="P459" s="91" t="s">
        <v>280</v>
      </c>
      <c r="Q459" s="93">
        <v>26.22</v>
      </c>
      <c r="R459" s="93">
        <v>26.22</v>
      </c>
      <c r="S459" t="s">
        <v>433</v>
      </c>
      <c r="T459">
        <f t="shared" si="28"/>
        <v>737725.91999999993</v>
      </c>
      <c r="U459">
        <f t="shared" si="29"/>
        <v>4564</v>
      </c>
      <c r="V459">
        <f t="shared" si="30"/>
        <v>857394</v>
      </c>
      <c r="W459">
        <f t="shared" si="31"/>
        <v>119668.08000000007</v>
      </c>
    </row>
    <row r="460" spans="1:23" x14ac:dyDescent="0.25">
      <c r="A460" s="204">
        <v>7203454549</v>
      </c>
      <c r="B460" s="204">
        <v>7203175930</v>
      </c>
      <c r="C460" s="126" t="s">
        <v>282</v>
      </c>
      <c r="D460" s="5">
        <v>6234000600</v>
      </c>
      <c r="E460" s="156">
        <v>44665</v>
      </c>
      <c r="F460" s="155">
        <v>28136</v>
      </c>
      <c r="G460" s="5" t="s">
        <v>1</v>
      </c>
      <c r="H460" s="6"/>
      <c r="I460" s="87">
        <v>0</v>
      </c>
      <c r="J460" s="84">
        <v>25.96</v>
      </c>
      <c r="K460" s="6"/>
      <c r="L460" s="6"/>
      <c r="M460" s="6"/>
      <c r="N460" s="6"/>
      <c r="O460" s="92">
        <v>32700</v>
      </c>
      <c r="P460" s="91" t="s">
        <v>280</v>
      </c>
      <c r="Q460" s="93">
        <v>25.96</v>
      </c>
      <c r="R460" s="93">
        <v>25.96</v>
      </c>
      <c r="S460" t="s">
        <v>433</v>
      </c>
      <c r="T460">
        <f t="shared" si="28"/>
        <v>730410.56</v>
      </c>
      <c r="U460">
        <f t="shared" si="29"/>
        <v>4564</v>
      </c>
      <c r="V460">
        <f t="shared" si="30"/>
        <v>848892</v>
      </c>
      <c r="W460">
        <f t="shared" si="31"/>
        <v>118481.43999999994</v>
      </c>
    </row>
    <row r="461" spans="1:23" x14ac:dyDescent="0.25">
      <c r="A461" s="204">
        <v>7203454549</v>
      </c>
      <c r="B461" s="204">
        <v>7203175930</v>
      </c>
      <c r="C461" s="126" t="s">
        <v>282</v>
      </c>
      <c r="D461" s="5">
        <v>6234000600</v>
      </c>
      <c r="E461" s="156">
        <v>44665</v>
      </c>
      <c r="F461" s="155">
        <v>28136</v>
      </c>
      <c r="G461" s="5" t="s">
        <v>1</v>
      </c>
      <c r="H461" s="6"/>
      <c r="I461" s="87">
        <v>0</v>
      </c>
      <c r="J461" s="84">
        <v>26.44</v>
      </c>
      <c r="K461" s="6"/>
      <c r="L461" s="6"/>
      <c r="M461" s="6"/>
      <c r="N461" s="6"/>
      <c r="O461" s="92">
        <v>32700</v>
      </c>
      <c r="P461" s="91" t="s">
        <v>280</v>
      </c>
      <c r="Q461" s="93">
        <v>26.44</v>
      </c>
      <c r="R461" s="93">
        <v>26.44</v>
      </c>
      <c r="S461" t="s">
        <v>433</v>
      </c>
      <c r="T461">
        <f t="shared" si="28"/>
        <v>743915.84000000008</v>
      </c>
      <c r="U461">
        <f t="shared" si="29"/>
        <v>4564</v>
      </c>
      <c r="V461">
        <f t="shared" si="30"/>
        <v>864588</v>
      </c>
      <c r="W461">
        <f t="shared" si="31"/>
        <v>120672.15999999992</v>
      </c>
    </row>
    <row r="462" spans="1:23" x14ac:dyDescent="0.25">
      <c r="A462" s="204">
        <v>7203454549</v>
      </c>
      <c r="B462" s="204">
        <v>7203175930</v>
      </c>
      <c r="C462" s="126" t="s">
        <v>282</v>
      </c>
      <c r="D462" s="5">
        <v>6234000600</v>
      </c>
      <c r="E462" s="156">
        <v>44665</v>
      </c>
      <c r="F462" s="155">
        <v>28136</v>
      </c>
      <c r="G462" s="5" t="s">
        <v>1</v>
      </c>
      <c r="H462" s="6"/>
      <c r="I462" s="87">
        <v>0</v>
      </c>
      <c r="J462" s="84">
        <v>26.12</v>
      </c>
      <c r="K462" s="6"/>
      <c r="L462" s="6"/>
      <c r="M462" s="6"/>
      <c r="N462" s="6"/>
      <c r="O462" s="92">
        <v>32700</v>
      </c>
      <c r="P462" s="91" t="s">
        <v>280</v>
      </c>
      <c r="Q462" s="93">
        <v>26.12</v>
      </c>
      <c r="R462" s="93">
        <v>26.12</v>
      </c>
      <c r="S462" t="s">
        <v>433</v>
      </c>
      <c r="T462">
        <f t="shared" si="28"/>
        <v>734912.32000000007</v>
      </c>
      <c r="U462">
        <f t="shared" si="29"/>
        <v>4564</v>
      </c>
      <c r="V462">
        <f t="shared" si="30"/>
        <v>854124</v>
      </c>
      <c r="W462">
        <f t="shared" si="31"/>
        <v>119211.67999999993</v>
      </c>
    </row>
    <row r="463" spans="1:23" x14ac:dyDescent="0.25">
      <c r="A463" s="204">
        <v>7203454549</v>
      </c>
      <c r="B463" s="204">
        <v>7203175930</v>
      </c>
      <c r="C463" s="126" t="s">
        <v>282</v>
      </c>
      <c r="D463" s="5">
        <v>6234000600</v>
      </c>
      <c r="E463" s="156">
        <v>44665</v>
      </c>
      <c r="F463" s="155">
        <v>28136</v>
      </c>
      <c r="G463" s="5" t="s">
        <v>1</v>
      </c>
      <c r="H463" s="6"/>
      <c r="I463" s="87">
        <v>0</v>
      </c>
      <c r="J463" s="84">
        <v>26.18</v>
      </c>
      <c r="K463" s="6"/>
      <c r="L463" s="6"/>
      <c r="M463" s="6"/>
      <c r="N463" s="6"/>
      <c r="O463" s="92">
        <v>32700</v>
      </c>
      <c r="P463" s="91" t="s">
        <v>280</v>
      </c>
      <c r="Q463" s="93">
        <v>26.18</v>
      </c>
      <c r="R463" s="93">
        <v>26.18</v>
      </c>
      <c r="S463" t="s">
        <v>433</v>
      </c>
      <c r="T463">
        <f t="shared" si="28"/>
        <v>736600.48</v>
      </c>
      <c r="U463">
        <f t="shared" si="29"/>
        <v>4564</v>
      </c>
      <c r="V463">
        <f t="shared" si="30"/>
        <v>856086</v>
      </c>
      <c r="W463">
        <f t="shared" si="31"/>
        <v>119485.52000000002</v>
      </c>
    </row>
    <row r="464" spans="1:23" x14ac:dyDescent="0.25">
      <c r="A464" s="204">
        <v>7203454549</v>
      </c>
      <c r="B464" s="204">
        <v>7203175930</v>
      </c>
      <c r="C464" s="126" t="s">
        <v>282</v>
      </c>
      <c r="D464" s="5">
        <v>6234000600</v>
      </c>
      <c r="E464" s="156">
        <v>44665</v>
      </c>
      <c r="F464" s="155">
        <v>28136</v>
      </c>
      <c r="G464" s="5" t="s">
        <v>1</v>
      </c>
      <c r="H464" s="6"/>
      <c r="I464" s="87">
        <v>0</v>
      </c>
      <c r="J464" s="84">
        <v>25.5</v>
      </c>
      <c r="K464" s="6"/>
      <c r="L464" s="6"/>
      <c r="M464" s="6"/>
      <c r="N464" s="6"/>
      <c r="O464" s="92">
        <v>32700</v>
      </c>
      <c r="P464" s="91" t="s">
        <v>280</v>
      </c>
      <c r="Q464" s="93">
        <v>25.5</v>
      </c>
      <c r="R464" s="93">
        <v>25.5</v>
      </c>
      <c r="S464" t="s">
        <v>433</v>
      </c>
      <c r="T464">
        <f t="shared" si="28"/>
        <v>717468</v>
      </c>
      <c r="U464">
        <f t="shared" si="29"/>
        <v>4564</v>
      </c>
      <c r="V464">
        <f t="shared" si="30"/>
        <v>833850</v>
      </c>
      <c r="W464">
        <f t="shared" si="31"/>
        <v>116382</v>
      </c>
    </row>
    <row r="465" spans="1:23" x14ac:dyDescent="0.25">
      <c r="A465" s="204">
        <v>7203454549</v>
      </c>
      <c r="B465" s="204">
        <v>7203175930</v>
      </c>
      <c r="C465" s="126" t="s">
        <v>282</v>
      </c>
      <c r="D465" s="5">
        <v>6234000600</v>
      </c>
      <c r="E465" s="156">
        <v>44666</v>
      </c>
      <c r="F465" s="155">
        <v>28136</v>
      </c>
      <c r="G465" s="5" t="s">
        <v>1</v>
      </c>
      <c r="H465" s="6"/>
      <c r="I465" s="87">
        <v>0</v>
      </c>
      <c r="J465" s="89">
        <v>25.94</v>
      </c>
      <c r="K465" s="6"/>
      <c r="L465" s="6"/>
      <c r="M465" s="6"/>
      <c r="N465" s="6"/>
      <c r="O465" s="92">
        <v>32700</v>
      </c>
      <c r="P465" s="91" t="s">
        <v>280</v>
      </c>
      <c r="Q465" s="95">
        <v>25.94</v>
      </c>
      <c r="R465" s="95">
        <v>25.94</v>
      </c>
      <c r="S465" t="s">
        <v>433</v>
      </c>
      <c r="T465">
        <f t="shared" si="28"/>
        <v>729847.84000000008</v>
      </c>
      <c r="U465">
        <f t="shared" si="29"/>
        <v>4564</v>
      </c>
      <c r="V465">
        <f t="shared" si="30"/>
        <v>848238</v>
      </c>
      <c r="W465">
        <f t="shared" si="31"/>
        <v>118390.15999999992</v>
      </c>
    </row>
    <row r="466" spans="1:23" x14ac:dyDescent="0.25">
      <c r="A466" s="204">
        <v>7203454549</v>
      </c>
      <c r="B466" s="204">
        <v>7203175930</v>
      </c>
      <c r="C466" s="126" t="s">
        <v>282</v>
      </c>
      <c r="D466" s="5">
        <v>6234000600</v>
      </c>
      <c r="E466" s="156">
        <v>44666</v>
      </c>
      <c r="F466" s="155">
        <v>28136</v>
      </c>
      <c r="G466" s="5" t="s">
        <v>1</v>
      </c>
      <c r="H466" s="6"/>
      <c r="I466" s="87">
        <v>0</v>
      </c>
      <c r="J466" s="89">
        <v>26.12</v>
      </c>
      <c r="K466" s="6"/>
      <c r="L466" s="6"/>
      <c r="M466" s="6"/>
      <c r="N466" s="6"/>
      <c r="O466" s="92">
        <v>32700</v>
      </c>
      <c r="P466" s="91" t="s">
        <v>280</v>
      </c>
      <c r="Q466" s="95">
        <v>26.12</v>
      </c>
      <c r="R466" s="95">
        <v>26.12</v>
      </c>
      <c r="S466" t="s">
        <v>433</v>
      </c>
      <c r="T466">
        <f t="shared" si="28"/>
        <v>734912.32000000007</v>
      </c>
      <c r="U466">
        <f t="shared" si="29"/>
        <v>4564</v>
      </c>
      <c r="V466">
        <f t="shared" si="30"/>
        <v>854124</v>
      </c>
      <c r="W466">
        <f t="shared" si="31"/>
        <v>119211.67999999993</v>
      </c>
    </row>
    <row r="467" spans="1:23" x14ac:dyDescent="0.25">
      <c r="A467" s="204">
        <v>7203454549</v>
      </c>
      <c r="B467" s="204">
        <v>7203175930</v>
      </c>
      <c r="C467" s="126" t="s">
        <v>282</v>
      </c>
      <c r="D467" s="5">
        <v>6234000600</v>
      </c>
      <c r="E467" s="156">
        <v>44666</v>
      </c>
      <c r="F467" s="155">
        <v>28136</v>
      </c>
      <c r="G467" s="5" t="s">
        <v>1</v>
      </c>
      <c r="H467" s="6"/>
      <c r="I467" s="87">
        <v>0</v>
      </c>
      <c r="J467" s="89">
        <v>23.82</v>
      </c>
      <c r="K467" s="6"/>
      <c r="L467" s="6"/>
      <c r="M467" s="6"/>
      <c r="N467" s="6"/>
      <c r="O467" s="92">
        <v>32700</v>
      </c>
      <c r="P467" s="91" t="s">
        <v>280</v>
      </c>
      <c r="Q467" s="95">
        <v>23.82</v>
      </c>
      <c r="R467" s="95">
        <v>23.82</v>
      </c>
      <c r="S467" t="s">
        <v>433</v>
      </c>
      <c r="T467">
        <f t="shared" si="28"/>
        <v>670199.52</v>
      </c>
      <c r="U467">
        <f t="shared" si="29"/>
        <v>4564</v>
      </c>
      <c r="V467">
        <f t="shared" si="30"/>
        <v>778914</v>
      </c>
      <c r="W467">
        <f t="shared" si="31"/>
        <v>108714.47999999998</v>
      </c>
    </row>
    <row r="468" spans="1:23" x14ac:dyDescent="0.25">
      <c r="A468" s="204">
        <v>7203454549</v>
      </c>
      <c r="B468" s="204">
        <v>7203175930</v>
      </c>
      <c r="C468" s="126" t="s">
        <v>282</v>
      </c>
      <c r="D468" s="5">
        <v>6234000600</v>
      </c>
      <c r="E468" s="156">
        <v>44666</v>
      </c>
      <c r="F468" s="155">
        <v>28136</v>
      </c>
      <c r="G468" s="5" t="s">
        <v>1</v>
      </c>
      <c r="H468" s="6"/>
      <c r="I468" s="87">
        <v>0</v>
      </c>
      <c r="J468" s="89">
        <v>23.94</v>
      </c>
      <c r="K468" s="6"/>
      <c r="L468" s="6"/>
      <c r="M468" s="6"/>
      <c r="N468" s="6"/>
      <c r="O468" s="92">
        <v>32700</v>
      </c>
      <c r="P468" s="91" t="s">
        <v>280</v>
      </c>
      <c r="Q468" s="95">
        <v>23.94</v>
      </c>
      <c r="R468" s="95">
        <v>23.94</v>
      </c>
      <c r="S468" t="s">
        <v>433</v>
      </c>
      <c r="T468">
        <f t="shared" si="28"/>
        <v>673575.84000000008</v>
      </c>
      <c r="U468">
        <f t="shared" si="29"/>
        <v>4564</v>
      </c>
      <c r="V468">
        <f t="shared" si="30"/>
        <v>782838</v>
      </c>
      <c r="W468">
        <f t="shared" si="31"/>
        <v>109262.15999999992</v>
      </c>
    </row>
    <row r="469" spans="1:23" x14ac:dyDescent="0.25">
      <c r="A469" s="204">
        <v>7203454549</v>
      </c>
      <c r="B469" s="204">
        <v>7203175930</v>
      </c>
      <c r="C469" s="126" t="s">
        <v>282</v>
      </c>
      <c r="D469" s="5">
        <v>6234000600</v>
      </c>
      <c r="E469" s="156">
        <v>44666</v>
      </c>
      <c r="F469" s="155">
        <v>28136</v>
      </c>
      <c r="G469" s="5" t="s">
        <v>1</v>
      </c>
      <c r="H469" s="6"/>
      <c r="I469" s="87">
        <v>0</v>
      </c>
      <c r="J469" s="89">
        <v>25.86</v>
      </c>
      <c r="K469" s="6"/>
      <c r="L469" s="6"/>
      <c r="M469" s="6"/>
      <c r="N469" s="6"/>
      <c r="O469" s="92">
        <v>32700</v>
      </c>
      <c r="P469" s="91" t="s">
        <v>280</v>
      </c>
      <c r="Q469" s="95">
        <v>25.86</v>
      </c>
      <c r="R469" s="95">
        <v>25.86</v>
      </c>
      <c r="S469" t="s">
        <v>433</v>
      </c>
      <c r="T469">
        <f t="shared" si="28"/>
        <v>727596.96</v>
      </c>
      <c r="U469">
        <f t="shared" si="29"/>
        <v>4564</v>
      </c>
      <c r="V469">
        <f t="shared" si="30"/>
        <v>845622</v>
      </c>
      <c r="W469">
        <f t="shared" si="31"/>
        <v>118025.04000000004</v>
      </c>
    </row>
    <row r="470" spans="1:23" x14ac:dyDescent="0.25">
      <c r="A470" s="204">
        <v>7203454549</v>
      </c>
      <c r="B470" s="204">
        <v>7203175930</v>
      </c>
      <c r="C470" s="126" t="s">
        <v>282</v>
      </c>
      <c r="D470" s="5">
        <v>6234000600</v>
      </c>
      <c r="E470" s="156">
        <v>44667</v>
      </c>
      <c r="F470" s="155">
        <v>28136</v>
      </c>
      <c r="G470" s="5" t="s">
        <v>1</v>
      </c>
      <c r="H470" s="6"/>
      <c r="I470" s="87">
        <v>0</v>
      </c>
      <c r="J470" s="89">
        <v>25.22</v>
      </c>
      <c r="K470" s="6"/>
      <c r="L470" s="6"/>
      <c r="M470" s="6"/>
      <c r="N470" s="6"/>
      <c r="O470" s="92">
        <v>32700</v>
      </c>
      <c r="P470" s="91" t="s">
        <v>280</v>
      </c>
      <c r="Q470" s="95">
        <v>25.22</v>
      </c>
      <c r="R470" s="95">
        <v>25.22</v>
      </c>
      <c r="S470" t="s">
        <v>433</v>
      </c>
      <c r="T470">
        <f t="shared" si="28"/>
        <v>709589.91999999993</v>
      </c>
      <c r="U470">
        <f t="shared" si="29"/>
        <v>4564</v>
      </c>
      <c r="V470">
        <f t="shared" si="30"/>
        <v>824694</v>
      </c>
      <c r="W470">
        <f t="shared" si="31"/>
        <v>115104.08000000007</v>
      </c>
    </row>
    <row r="471" spans="1:23" x14ac:dyDescent="0.25">
      <c r="A471" s="204">
        <v>7203454549</v>
      </c>
      <c r="B471" s="204">
        <v>7203175930</v>
      </c>
      <c r="C471" s="126" t="s">
        <v>282</v>
      </c>
      <c r="D471" s="5">
        <v>6234000600</v>
      </c>
      <c r="E471" s="156">
        <v>44667</v>
      </c>
      <c r="F471" s="155">
        <v>28136</v>
      </c>
      <c r="G471" s="5" t="s">
        <v>1</v>
      </c>
      <c r="H471" s="6"/>
      <c r="I471" s="87">
        <v>0</v>
      </c>
      <c r="J471" s="89">
        <v>23.86</v>
      </c>
      <c r="K471" s="6"/>
      <c r="L471" s="6"/>
      <c r="M471" s="6"/>
      <c r="N471" s="6"/>
      <c r="O471" s="92">
        <v>32700</v>
      </c>
      <c r="P471" s="91" t="s">
        <v>280</v>
      </c>
      <c r="Q471" s="95">
        <v>23.86</v>
      </c>
      <c r="R471" s="95">
        <v>23.86</v>
      </c>
      <c r="S471" t="s">
        <v>433</v>
      </c>
      <c r="T471">
        <f t="shared" si="28"/>
        <v>671324.96</v>
      </c>
      <c r="U471">
        <f t="shared" si="29"/>
        <v>4564</v>
      </c>
      <c r="V471">
        <f t="shared" si="30"/>
        <v>780222</v>
      </c>
      <c r="W471">
        <f t="shared" si="31"/>
        <v>108897.04000000004</v>
      </c>
    </row>
    <row r="472" spans="1:23" x14ac:dyDescent="0.25">
      <c r="A472" s="204">
        <v>7203454549</v>
      </c>
      <c r="B472" s="204">
        <v>7203175930</v>
      </c>
      <c r="C472" s="126" t="s">
        <v>282</v>
      </c>
      <c r="D472" s="5">
        <v>6234000600</v>
      </c>
      <c r="E472" s="156">
        <v>44668</v>
      </c>
      <c r="F472" s="155">
        <v>28136</v>
      </c>
      <c r="G472" s="5" t="s">
        <v>1</v>
      </c>
      <c r="H472" s="6"/>
      <c r="I472" s="87">
        <v>0</v>
      </c>
      <c r="J472" s="90">
        <v>26.26</v>
      </c>
      <c r="K472" s="6"/>
      <c r="L472" s="6"/>
      <c r="M472" s="6"/>
      <c r="N472" s="6"/>
      <c r="O472" s="92">
        <v>32700</v>
      </c>
      <c r="P472" s="91" t="s">
        <v>280</v>
      </c>
      <c r="Q472" s="96">
        <v>26.26</v>
      </c>
      <c r="R472" s="96">
        <v>26.26</v>
      </c>
      <c r="S472" t="s">
        <v>433</v>
      </c>
      <c r="T472">
        <f t="shared" si="28"/>
        <v>738851.36</v>
      </c>
      <c r="U472">
        <f t="shared" si="29"/>
        <v>4564</v>
      </c>
      <c r="V472">
        <f t="shared" si="30"/>
        <v>858702</v>
      </c>
      <c r="W472">
        <f t="shared" si="31"/>
        <v>119850.64000000001</v>
      </c>
    </row>
    <row r="473" spans="1:23" x14ac:dyDescent="0.25">
      <c r="A473" s="204">
        <v>7203454549</v>
      </c>
      <c r="B473" s="204">
        <v>7203175930</v>
      </c>
      <c r="C473" s="126" t="s">
        <v>282</v>
      </c>
      <c r="D473" s="5">
        <v>6234000600</v>
      </c>
      <c r="E473" s="156">
        <v>44668</v>
      </c>
      <c r="F473" s="155">
        <v>28136</v>
      </c>
      <c r="G473" s="5" t="s">
        <v>1</v>
      </c>
      <c r="H473" s="6"/>
      <c r="I473" s="87">
        <v>0</v>
      </c>
      <c r="J473" s="90">
        <v>26</v>
      </c>
      <c r="K473" s="6"/>
      <c r="L473" s="6"/>
      <c r="M473" s="6"/>
      <c r="N473" s="6"/>
      <c r="O473" s="92">
        <v>32700</v>
      </c>
      <c r="P473" s="91" t="s">
        <v>280</v>
      </c>
      <c r="Q473" s="96">
        <v>26</v>
      </c>
      <c r="R473" s="96">
        <v>26</v>
      </c>
      <c r="S473" t="s">
        <v>433</v>
      </c>
      <c r="T473">
        <f t="shared" si="28"/>
        <v>731536</v>
      </c>
      <c r="U473">
        <f t="shared" si="29"/>
        <v>4564</v>
      </c>
      <c r="V473">
        <f t="shared" si="30"/>
        <v>850200</v>
      </c>
      <c r="W473">
        <f t="shared" si="31"/>
        <v>118664</v>
      </c>
    </row>
    <row r="474" spans="1:23" x14ac:dyDescent="0.25">
      <c r="A474" s="204">
        <v>7203454549</v>
      </c>
      <c r="B474" s="204">
        <v>7203175930</v>
      </c>
      <c r="C474" s="126" t="s">
        <v>282</v>
      </c>
      <c r="D474" s="5">
        <v>6234000600</v>
      </c>
      <c r="E474" s="156">
        <v>44668</v>
      </c>
      <c r="F474" s="155">
        <v>28136</v>
      </c>
      <c r="G474" s="5" t="s">
        <v>1</v>
      </c>
      <c r="H474" s="6"/>
      <c r="I474" s="87">
        <v>0</v>
      </c>
      <c r="J474" s="90">
        <v>25.36</v>
      </c>
      <c r="K474" s="6"/>
      <c r="L474" s="6"/>
      <c r="M474" s="6"/>
      <c r="N474" s="6"/>
      <c r="O474" s="92">
        <v>32700</v>
      </c>
      <c r="P474" s="91" t="s">
        <v>280</v>
      </c>
      <c r="Q474" s="96">
        <v>25.36</v>
      </c>
      <c r="R474" s="96">
        <v>25.36</v>
      </c>
      <c r="S474" t="s">
        <v>433</v>
      </c>
      <c r="T474">
        <f t="shared" si="28"/>
        <v>713528.96</v>
      </c>
      <c r="U474">
        <f t="shared" si="29"/>
        <v>4564</v>
      </c>
      <c r="V474">
        <f t="shared" si="30"/>
        <v>829272</v>
      </c>
      <c r="W474">
        <f t="shared" si="31"/>
        <v>115743.04000000004</v>
      </c>
    </row>
    <row r="475" spans="1:23" x14ac:dyDescent="0.25">
      <c r="A475" s="204">
        <v>7203454549</v>
      </c>
      <c r="B475" s="204">
        <v>7203175930</v>
      </c>
      <c r="C475" s="126" t="s">
        <v>282</v>
      </c>
      <c r="D475" s="5">
        <v>6234000600</v>
      </c>
      <c r="E475" s="156">
        <v>44669</v>
      </c>
      <c r="F475" s="155">
        <v>28136</v>
      </c>
      <c r="G475" s="5" t="s">
        <v>1</v>
      </c>
      <c r="H475" s="6"/>
      <c r="I475" s="87">
        <v>0</v>
      </c>
      <c r="J475" s="88">
        <v>26.6</v>
      </c>
      <c r="K475" s="6"/>
      <c r="L475" s="6"/>
      <c r="M475" s="6"/>
      <c r="N475" s="6"/>
      <c r="O475" s="92">
        <v>32700</v>
      </c>
      <c r="P475" s="91" t="s">
        <v>280</v>
      </c>
      <c r="Q475" s="94">
        <v>26.6</v>
      </c>
      <c r="R475" s="94">
        <v>26.6</v>
      </c>
      <c r="S475" t="s">
        <v>433</v>
      </c>
      <c r="T475">
        <f t="shared" si="28"/>
        <v>748417.60000000009</v>
      </c>
      <c r="U475">
        <f t="shared" si="29"/>
        <v>4564</v>
      </c>
      <c r="V475">
        <f t="shared" si="30"/>
        <v>869820</v>
      </c>
      <c r="W475">
        <f t="shared" si="31"/>
        <v>121402.39999999991</v>
      </c>
    </row>
    <row r="476" spans="1:23" x14ac:dyDescent="0.25">
      <c r="A476" s="204">
        <v>7203454549</v>
      </c>
      <c r="B476" s="204">
        <v>7203175930</v>
      </c>
      <c r="C476" s="126" t="s">
        <v>282</v>
      </c>
      <c r="D476" s="5">
        <v>6234000600</v>
      </c>
      <c r="E476" s="156">
        <v>44669</v>
      </c>
      <c r="F476" s="155">
        <v>28136</v>
      </c>
      <c r="G476" s="5" t="s">
        <v>1</v>
      </c>
      <c r="H476" s="6"/>
      <c r="I476" s="87">
        <v>0</v>
      </c>
      <c r="J476" s="85">
        <v>26.02</v>
      </c>
      <c r="K476" s="6"/>
      <c r="L476" s="6"/>
      <c r="M476" s="6"/>
      <c r="N476" s="6"/>
      <c r="O476" s="92">
        <v>32700</v>
      </c>
      <c r="P476" s="91" t="s">
        <v>280</v>
      </c>
      <c r="Q476" s="94">
        <v>26.02</v>
      </c>
      <c r="R476" s="94">
        <v>26.02</v>
      </c>
      <c r="S476" t="s">
        <v>433</v>
      </c>
      <c r="T476">
        <f t="shared" si="28"/>
        <v>732098.72</v>
      </c>
      <c r="U476">
        <f t="shared" si="29"/>
        <v>4564</v>
      </c>
      <c r="V476">
        <f t="shared" si="30"/>
        <v>850854</v>
      </c>
      <c r="W476">
        <f t="shared" si="31"/>
        <v>118755.28000000003</v>
      </c>
    </row>
    <row r="477" spans="1:23" x14ac:dyDescent="0.25">
      <c r="A477" s="204">
        <v>7203454549</v>
      </c>
      <c r="B477" s="204">
        <v>7203175930</v>
      </c>
      <c r="C477" s="126" t="s">
        <v>282</v>
      </c>
      <c r="D477" s="5">
        <v>6234000600</v>
      </c>
      <c r="E477" s="156">
        <v>44669</v>
      </c>
      <c r="F477" s="155">
        <v>28136</v>
      </c>
      <c r="G477" s="5" t="s">
        <v>1</v>
      </c>
      <c r="H477" s="6"/>
      <c r="I477" s="87">
        <v>0</v>
      </c>
      <c r="J477" s="85">
        <v>26.42</v>
      </c>
      <c r="K477" s="6"/>
      <c r="L477" s="6"/>
      <c r="M477" s="6"/>
      <c r="N477" s="6"/>
      <c r="O477" s="92">
        <v>32700</v>
      </c>
      <c r="P477" s="91" t="s">
        <v>280</v>
      </c>
      <c r="Q477" s="94">
        <v>26.42</v>
      </c>
      <c r="R477" s="94">
        <v>26.42</v>
      </c>
      <c r="S477" t="s">
        <v>433</v>
      </c>
      <c r="T477">
        <f t="shared" si="28"/>
        <v>743353.12</v>
      </c>
      <c r="U477">
        <f t="shared" si="29"/>
        <v>4564</v>
      </c>
      <c r="V477">
        <f t="shared" si="30"/>
        <v>863934</v>
      </c>
      <c r="W477">
        <f t="shared" si="31"/>
        <v>120580.88</v>
      </c>
    </row>
    <row r="478" spans="1:23" x14ac:dyDescent="0.25">
      <c r="A478" s="204">
        <v>7203454549</v>
      </c>
      <c r="B478" s="204">
        <v>7203175930</v>
      </c>
      <c r="C478" s="126" t="s">
        <v>282</v>
      </c>
      <c r="D478" s="5">
        <v>6234000600</v>
      </c>
      <c r="E478" s="156">
        <v>44670</v>
      </c>
      <c r="F478" s="155">
        <v>28136</v>
      </c>
      <c r="G478" s="5" t="s">
        <v>1</v>
      </c>
      <c r="H478" s="6"/>
      <c r="I478" s="87">
        <v>0</v>
      </c>
      <c r="J478" s="85">
        <v>25.96</v>
      </c>
      <c r="K478" s="6"/>
      <c r="L478" s="6"/>
      <c r="M478" s="6"/>
      <c r="N478" s="6"/>
      <c r="O478" s="92">
        <v>32700</v>
      </c>
      <c r="P478" s="91" t="s">
        <v>280</v>
      </c>
      <c r="Q478" s="94">
        <v>25.96</v>
      </c>
      <c r="R478" s="94">
        <v>25.96</v>
      </c>
      <c r="S478" t="s">
        <v>433</v>
      </c>
      <c r="T478">
        <f t="shared" si="28"/>
        <v>730410.56</v>
      </c>
      <c r="U478">
        <f t="shared" si="29"/>
        <v>4564</v>
      </c>
      <c r="V478">
        <f t="shared" si="30"/>
        <v>848892</v>
      </c>
      <c r="W478">
        <f t="shared" si="31"/>
        <v>118481.43999999994</v>
      </c>
    </row>
    <row r="479" spans="1:23" x14ac:dyDescent="0.25">
      <c r="A479" s="204">
        <v>7203454549</v>
      </c>
      <c r="B479" s="204">
        <v>7203175930</v>
      </c>
      <c r="C479" s="126" t="s">
        <v>282</v>
      </c>
      <c r="D479" s="5">
        <v>6234000600</v>
      </c>
      <c r="E479" s="156">
        <v>44670</v>
      </c>
      <c r="F479" s="155">
        <v>28136</v>
      </c>
      <c r="G479" s="5" t="s">
        <v>1</v>
      </c>
      <c r="H479" s="6"/>
      <c r="I479" s="87">
        <v>0</v>
      </c>
      <c r="J479" s="85">
        <v>25.8</v>
      </c>
      <c r="K479" s="6"/>
      <c r="L479" s="6"/>
      <c r="M479" s="6"/>
      <c r="N479" s="6"/>
      <c r="O479" s="92">
        <v>32700</v>
      </c>
      <c r="P479" s="91" t="s">
        <v>280</v>
      </c>
      <c r="Q479" s="94">
        <v>25.8</v>
      </c>
      <c r="R479" s="94">
        <v>25.8</v>
      </c>
      <c r="S479" t="s">
        <v>433</v>
      </c>
      <c r="T479">
        <f t="shared" si="28"/>
        <v>725908.8</v>
      </c>
      <c r="U479">
        <f t="shared" si="29"/>
        <v>4564</v>
      </c>
      <c r="V479">
        <f t="shared" si="30"/>
        <v>843660</v>
      </c>
      <c r="W479">
        <f t="shared" si="31"/>
        <v>117751.19999999995</v>
      </c>
    </row>
    <row r="480" spans="1:23" x14ac:dyDescent="0.25">
      <c r="A480" s="204">
        <v>7203454549</v>
      </c>
      <c r="B480" s="204">
        <v>7203175930</v>
      </c>
      <c r="C480" s="126" t="s">
        <v>282</v>
      </c>
      <c r="D480" s="5">
        <v>6234000600</v>
      </c>
      <c r="E480" s="156">
        <v>44671</v>
      </c>
      <c r="F480" s="155">
        <v>28136</v>
      </c>
      <c r="G480" s="5" t="s">
        <v>1</v>
      </c>
      <c r="H480" s="6"/>
      <c r="I480" s="87">
        <v>0</v>
      </c>
      <c r="J480" s="85">
        <v>24.58</v>
      </c>
      <c r="K480" s="6"/>
      <c r="L480" s="6"/>
      <c r="M480" s="6"/>
      <c r="N480" s="6"/>
      <c r="O480" s="92">
        <v>32700</v>
      </c>
      <c r="P480" s="91" t="s">
        <v>280</v>
      </c>
      <c r="Q480" s="94">
        <v>24.58</v>
      </c>
      <c r="R480" s="94">
        <v>24.58</v>
      </c>
      <c r="S480" t="s">
        <v>433</v>
      </c>
      <c r="T480">
        <f t="shared" si="28"/>
        <v>691582.88</v>
      </c>
      <c r="U480">
        <f t="shared" si="29"/>
        <v>4564</v>
      </c>
      <c r="V480">
        <f t="shared" si="30"/>
        <v>803766</v>
      </c>
      <c r="W480">
        <f t="shared" si="31"/>
        <v>112183.12</v>
      </c>
    </row>
    <row r="481" spans="1:23" x14ac:dyDescent="0.25">
      <c r="A481" s="204">
        <v>7203454549</v>
      </c>
      <c r="B481" s="204">
        <v>7203175930</v>
      </c>
      <c r="C481" s="126" t="s">
        <v>282</v>
      </c>
      <c r="D481" s="5">
        <v>6234000600</v>
      </c>
      <c r="E481" s="156">
        <v>44671</v>
      </c>
      <c r="F481" s="155">
        <v>28136</v>
      </c>
      <c r="G481" s="5" t="s">
        <v>1</v>
      </c>
      <c r="H481" s="6"/>
      <c r="I481" s="87">
        <v>0</v>
      </c>
      <c r="J481" s="85">
        <v>26.44</v>
      </c>
      <c r="K481" s="6"/>
      <c r="L481" s="6"/>
      <c r="M481" s="6"/>
      <c r="N481" s="6"/>
      <c r="O481" s="92">
        <v>32700</v>
      </c>
      <c r="P481" s="91" t="s">
        <v>280</v>
      </c>
      <c r="Q481" s="94">
        <v>26.44</v>
      </c>
      <c r="R481" s="94">
        <v>26.44</v>
      </c>
      <c r="S481" t="s">
        <v>433</v>
      </c>
      <c r="T481">
        <f t="shared" si="28"/>
        <v>743915.84000000008</v>
      </c>
      <c r="U481">
        <f t="shared" si="29"/>
        <v>4564</v>
      </c>
      <c r="V481">
        <f t="shared" si="30"/>
        <v>864588</v>
      </c>
      <c r="W481">
        <f t="shared" si="31"/>
        <v>120672.15999999992</v>
      </c>
    </row>
    <row r="482" spans="1:23" x14ac:dyDescent="0.25">
      <c r="A482" s="204">
        <v>7203454549</v>
      </c>
      <c r="B482" s="204">
        <v>7203175930</v>
      </c>
      <c r="C482" s="126" t="s">
        <v>282</v>
      </c>
      <c r="D482" s="5">
        <v>6234000600</v>
      </c>
      <c r="E482" s="156">
        <v>44671</v>
      </c>
      <c r="F482" s="155">
        <v>28136</v>
      </c>
      <c r="G482" s="5" t="s">
        <v>1</v>
      </c>
      <c r="H482" s="6"/>
      <c r="I482" s="87">
        <v>0</v>
      </c>
      <c r="J482" s="85">
        <v>24.16</v>
      </c>
      <c r="K482" s="6"/>
      <c r="L482" s="6"/>
      <c r="M482" s="6"/>
      <c r="N482" s="6"/>
      <c r="O482" s="92">
        <v>32700</v>
      </c>
      <c r="P482" s="91" t="s">
        <v>280</v>
      </c>
      <c r="Q482" s="94">
        <v>24.16</v>
      </c>
      <c r="R482" s="94">
        <v>24.16</v>
      </c>
      <c r="S482" t="s">
        <v>433</v>
      </c>
      <c r="T482">
        <f t="shared" si="28"/>
        <v>679765.76</v>
      </c>
      <c r="U482">
        <f t="shared" si="29"/>
        <v>4564</v>
      </c>
      <c r="V482">
        <f t="shared" si="30"/>
        <v>790032</v>
      </c>
      <c r="W482">
        <f t="shared" si="31"/>
        <v>110266.23999999999</v>
      </c>
    </row>
    <row r="483" spans="1:23" x14ac:dyDescent="0.25">
      <c r="A483" s="204">
        <v>7203454549</v>
      </c>
      <c r="B483" s="204">
        <v>7203175930</v>
      </c>
      <c r="C483" s="126" t="s">
        <v>282</v>
      </c>
      <c r="D483" s="5">
        <v>6234000600</v>
      </c>
      <c r="E483" s="156">
        <v>44672</v>
      </c>
      <c r="F483" s="155">
        <v>28136</v>
      </c>
      <c r="G483" s="5" t="s">
        <v>1</v>
      </c>
      <c r="H483" s="6"/>
      <c r="I483" s="87">
        <v>0</v>
      </c>
      <c r="J483" s="86">
        <v>25.96</v>
      </c>
      <c r="K483" s="6"/>
      <c r="L483" s="6"/>
      <c r="M483" s="6"/>
      <c r="N483" s="6"/>
      <c r="O483" s="92">
        <v>32700</v>
      </c>
      <c r="P483" s="91" t="s">
        <v>280</v>
      </c>
      <c r="Q483" s="97">
        <v>25.96</v>
      </c>
      <c r="R483" s="97">
        <v>25.96</v>
      </c>
      <c r="S483" t="s">
        <v>433</v>
      </c>
      <c r="T483">
        <f t="shared" si="28"/>
        <v>730410.56</v>
      </c>
      <c r="U483">
        <f t="shared" si="29"/>
        <v>4564</v>
      </c>
      <c r="V483">
        <f t="shared" si="30"/>
        <v>848892</v>
      </c>
      <c r="W483">
        <f t="shared" si="31"/>
        <v>118481.43999999994</v>
      </c>
    </row>
    <row r="484" spans="1:23" x14ac:dyDescent="0.25">
      <c r="A484" s="204">
        <v>7203454549</v>
      </c>
      <c r="B484" s="204">
        <v>7203175930</v>
      </c>
      <c r="C484" s="126" t="s">
        <v>282</v>
      </c>
      <c r="D484" s="5">
        <v>6234000600</v>
      </c>
      <c r="E484" s="156">
        <v>44672</v>
      </c>
      <c r="F484" s="155">
        <v>28136</v>
      </c>
      <c r="G484" s="5" t="s">
        <v>1</v>
      </c>
      <c r="H484" s="6"/>
      <c r="I484" s="87">
        <v>0</v>
      </c>
      <c r="J484" s="86">
        <v>24.2</v>
      </c>
      <c r="K484" s="6"/>
      <c r="L484" s="6"/>
      <c r="M484" s="6"/>
      <c r="N484" s="6"/>
      <c r="O484" s="92">
        <v>32700</v>
      </c>
      <c r="P484" s="91" t="s">
        <v>280</v>
      </c>
      <c r="Q484" s="97">
        <v>24.2</v>
      </c>
      <c r="R484" s="97">
        <v>24.2</v>
      </c>
      <c r="S484" t="s">
        <v>433</v>
      </c>
      <c r="T484">
        <f t="shared" si="28"/>
        <v>680891.2</v>
      </c>
      <c r="U484">
        <f t="shared" si="29"/>
        <v>4564</v>
      </c>
      <c r="V484">
        <f t="shared" si="30"/>
        <v>791340</v>
      </c>
      <c r="W484">
        <f t="shared" si="31"/>
        <v>110448.80000000005</v>
      </c>
    </row>
    <row r="485" spans="1:23" x14ac:dyDescent="0.25">
      <c r="A485" s="204">
        <v>7203454549</v>
      </c>
      <c r="B485" s="204">
        <v>7203175930</v>
      </c>
      <c r="C485" s="126" t="s">
        <v>282</v>
      </c>
      <c r="D485" s="5">
        <v>6234000600</v>
      </c>
      <c r="E485" s="156">
        <v>44672</v>
      </c>
      <c r="F485" s="155">
        <v>28136</v>
      </c>
      <c r="G485" s="5" t="s">
        <v>1</v>
      </c>
      <c r="H485" s="6"/>
      <c r="I485" s="87">
        <v>0</v>
      </c>
      <c r="J485" s="86">
        <v>26.12</v>
      </c>
      <c r="K485" s="6"/>
      <c r="L485" s="6"/>
      <c r="M485" s="6"/>
      <c r="N485" s="6"/>
      <c r="O485" s="92">
        <v>32700</v>
      </c>
      <c r="P485" s="91" t="s">
        <v>280</v>
      </c>
      <c r="Q485" s="97">
        <v>26.12</v>
      </c>
      <c r="R485" s="97">
        <v>26.12</v>
      </c>
      <c r="S485" t="s">
        <v>433</v>
      </c>
      <c r="T485">
        <f t="shared" si="28"/>
        <v>734912.32000000007</v>
      </c>
      <c r="U485">
        <f t="shared" si="29"/>
        <v>4564</v>
      </c>
      <c r="V485">
        <f t="shared" si="30"/>
        <v>854124</v>
      </c>
      <c r="W485">
        <f t="shared" si="31"/>
        <v>119211.67999999993</v>
      </c>
    </row>
    <row r="486" spans="1:23" x14ac:dyDescent="0.25">
      <c r="A486" s="204">
        <v>7203454549</v>
      </c>
      <c r="B486" s="204">
        <v>7203175930</v>
      </c>
      <c r="C486" s="126" t="s">
        <v>282</v>
      </c>
      <c r="D486" s="5">
        <v>6234000600</v>
      </c>
      <c r="E486" s="156">
        <v>44672</v>
      </c>
      <c r="F486" s="155">
        <v>28136</v>
      </c>
      <c r="G486" s="5" t="s">
        <v>1</v>
      </c>
      <c r="H486" s="6"/>
      <c r="I486" s="87">
        <v>0</v>
      </c>
      <c r="J486" s="86">
        <v>23.94</v>
      </c>
      <c r="K486" s="6"/>
      <c r="L486" s="6"/>
      <c r="M486" s="6"/>
      <c r="N486" s="6"/>
      <c r="O486" s="92">
        <v>32700</v>
      </c>
      <c r="P486" s="91" t="s">
        <v>280</v>
      </c>
      <c r="Q486" s="97">
        <v>23.94</v>
      </c>
      <c r="R486" s="97">
        <v>23.94</v>
      </c>
      <c r="S486" t="s">
        <v>433</v>
      </c>
      <c r="T486">
        <f t="shared" si="28"/>
        <v>673575.84000000008</v>
      </c>
      <c r="U486">
        <f t="shared" si="29"/>
        <v>4564</v>
      </c>
      <c r="V486">
        <f t="shared" si="30"/>
        <v>782838</v>
      </c>
      <c r="W486">
        <f t="shared" si="31"/>
        <v>109262.15999999992</v>
      </c>
    </row>
    <row r="487" spans="1:23" x14ac:dyDescent="0.25">
      <c r="A487" s="204">
        <v>7203454549</v>
      </c>
      <c r="B487" s="204">
        <v>7203175930</v>
      </c>
      <c r="C487" s="126" t="s">
        <v>282</v>
      </c>
      <c r="D487" s="5">
        <v>6234000600</v>
      </c>
      <c r="E487" s="156">
        <v>44673</v>
      </c>
      <c r="F487" s="155">
        <v>28136</v>
      </c>
      <c r="G487" s="5" t="s">
        <v>1</v>
      </c>
      <c r="H487" s="6"/>
      <c r="I487" s="87">
        <v>0</v>
      </c>
      <c r="J487" s="86">
        <v>25.22</v>
      </c>
      <c r="K487" s="6"/>
      <c r="L487" s="6"/>
      <c r="M487" s="6"/>
      <c r="N487" s="6"/>
      <c r="O487" s="92">
        <v>32700</v>
      </c>
      <c r="P487" s="91" t="s">
        <v>280</v>
      </c>
      <c r="Q487" s="97">
        <v>25.22</v>
      </c>
      <c r="R487" s="97">
        <v>25.22</v>
      </c>
      <c r="S487" t="s">
        <v>433</v>
      </c>
      <c r="T487">
        <f t="shared" si="28"/>
        <v>709589.91999999993</v>
      </c>
      <c r="U487">
        <f t="shared" si="29"/>
        <v>4564</v>
      </c>
      <c r="V487">
        <f t="shared" si="30"/>
        <v>824694</v>
      </c>
      <c r="W487">
        <f t="shared" si="31"/>
        <v>115104.08000000007</v>
      </c>
    </row>
    <row r="488" spans="1:23" x14ac:dyDescent="0.25">
      <c r="A488" s="204">
        <v>7203454549</v>
      </c>
      <c r="B488" s="204">
        <v>7203175930</v>
      </c>
      <c r="C488" s="126" t="s">
        <v>282</v>
      </c>
      <c r="D488" s="5">
        <v>6234000600</v>
      </c>
      <c r="E488" s="156">
        <v>44673</v>
      </c>
      <c r="F488" s="155">
        <v>28136</v>
      </c>
      <c r="G488" s="5" t="s">
        <v>1</v>
      </c>
      <c r="H488" s="6"/>
      <c r="I488" s="87">
        <v>0</v>
      </c>
      <c r="J488" s="86">
        <v>25.9</v>
      </c>
      <c r="K488" s="6"/>
      <c r="L488" s="6"/>
      <c r="M488" s="6"/>
      <c r="N488" s="6"/>
      <c r="O488" s="92">
        <v>32700</v>
      </c>
      <c r="P488" s="91" t="s">
        <v>280</v>
      </c>
      <c r="Q488" s="97">
        <v>25.9</v>
      </c>
      <c r="R488" s="97">
        <v>25.9</v>
      </c>
      <c r="S488" t="s">
        <v>433</v>
      </c>
      <c r="T488">
        <f t="shared" si="28"/>
        <v>728722.39999999991</v>
      </c>
      <c r="U488">
        <f t="shared" si="29"/>
        <v>4564</v>
      </c>
      <c r="V488">
        <f t="shared" si="30"/>
        <v>846930</v>
      </c>
      <c r="W488">
        <f t="shared" si="31"/>
        <v>118207.60000000009</v>
      </c>
    </row>
    <row r="489" spans="1:23" x14ac:dyDescent="0.25">
      <c r="A489" s="204">
        <v>7203454549</v>
      </c>
      <c r="B489" s="204">
        <v>7203175930</v>
      </c>
      <c r="C489" s="126" t="s">
        <v>282</v>
      </c>
      <c r="D489" s="5">
        <v>6234000600</v>
      </c>
      <c r="E489" s="156">
        <v>44673</v>
      </c>
      <c r="F489" s="155">
        <v>28136</v>
      </c>
      <c r="G489" s="5" t="s">
        <v>1</v>
      </c>
      <c r="H489" s="6"/>
      <c r="I489" s="87">
        <v>0</v>
      </c>
      <c r="J489" s="86">
        <v>25.9</v>
      </c>
      <c r="K489" s="6"/>
      <c r="L489" s="6"/>
      <c r="M489" s="6"/>
      <c r="N489" s="6"/>
      <c r="O489" s="92">
        <v>32700</v>
      </c>
      <c r="P489" s="91" t="s">
        <v>280</v>
      </c>
      <c r="Q489" s="97">
        <v>25.9</v>
      </c>
      <c r="R489" s="97">
        <v>25.9</v>
      </c>
      <c r="S489" t="s">
        <v>433</v>
      </c>
      <c r="T489">
        <f t="shared" si="28"/>
        <v>728722.39999999991</v>
      </c>
      <c r="U489">
        <f t="shared" si="29"/>
        <v>4564</v>
      </c>
      <c r="V489">
        <f t="shared" si="30"/>
        <v>846930</v>
      </c>
      <c r="W489">
        <f t="shared" si="31"/>
        <v>118207.60000000009</v>
      </c>
    </row>
    <row r="490" spans="1:23" x14ac:dyDescent="0.25">
      <c r="A490" s="204">
        <v>7203454549</v>
      </c>
      <c r="B490" s="204">
        <v>7203175930</v>
      </c>
      <c r="C490" s="126" t="s">
        <v>282</v>
      </c>
      <c r="D490" s="5">
        <v>6234000600</v>
      </c>
      <c r="E490" s="156">
        <v>44673</v>
      </c>
      <c r="F490" s="155">
        <v>28136</v>
      </c>
      <c r="G490" s="5" t="s">
        <v>1</v>
      </c>
      <c r="H490" s="6"/>
      <c r="I490" s="87">
        <v>0</v>
      </c>
      <c r="J490" s="86">
        <v>26.14</v>
      </c>
      <c r="K490" s="6"/>
      <c r="L490" s="6"/>
      <c r="M490" s="6"/>
      <c r="N490" s="6"/>
      <c r="O490" s="92">
        <v>32700</v>
      </c>
      <c r="P490" s="91" t="s">
        <v>280</v>
      </c>
      <c r="Q490" s="97">
        <v>26.14</v>
      </c>
      <c r="R490" s="97">
        <v>26.14</v>
      </c>
      <c r="S490" t="s">
        <v>433</v>
      </c>
      <c r="T490">
        <f t="shared" si="28"/>
        <v>735475.04</v>
      </c>
      <c r="U490">
        <f t="shared" si="29"/>
        <v>4564</v>
      </c>
      <c r="V490">
        <f t="shared" si="30"/>
        <v>854778</v>
      </c>
      <c r="W490">
        <f t="shared" si="31"/>
        <v>119302.95999999996</v>
      </c>
    </row>
    <row r="491" spans="1:23" x14ac:dyDescent="0.25">
      <c r="A491" s="204">
        <v>7203454549</v>
      </c>
      <c r="B491" s="204">
        <v>7203175930</v>
      </c>
      <c r="C491" s="126" t="s">
        <v>282</v>
      </c>
      <c r="D491" s="5">
        <v>6234000600</v>
      </c>
      <c r="E491" s="156">
        <v>44673</v>
      </c>
      <c r="F491" s="155">
        <v>28136</v>
      </c>
      <c r="G491" s="5" t="s">
        <v>1</v>
      </c>
      <c r="H491" s="6"/>
      <c r="I491" s="87">
        <v>0</v>
      </c>
      <c r="J491" s="86">
        <v>25.54</v>
      </c>
      <c r="K491" s="6"/>
      <c r="L491" s="6"/>
      <c r="M491" s="6"/>
      <c r="N491" s="6"/>
      <c r="O491" s="92">
        <v>32700</v>
      </c>
      <c r="P491" s="91" t="s">
        <v>280</v>
      </c>
      <c r="Q491" s="97">
        <v>25.54</v>
      </c>
      <c r="R491" s="97">
        <v>25.54</v>
      </c>
      <c r="S491" t="s">
        <v>433</v>
      </c>
      <c r="T491">
        <f t="shared" si="28"/>
        <v>718593.44</v>
      </c>
      <c r="U491">
        <f t="shared" si="29"/>
        <v>4564</v>
      </c>
      <c r="V491">
        <f t="shared" si="30"/>
        <v>835158</v>
      </c>
      <c r="W491">
        <f t="shared" si="31"/>
        <v>116564.56000000006</v>
      </c>
    </row>
    <row r="492" spans="1:23" x14ac:dyDescent="0.25">
      <c r="A492" s="204">
        <v>7203454549</v>
      </c>
      <c r="B492" s="204">
        <v>7203175930</v>
      </c>
      <c r="C492" s="126" t="s">
        <v>282</v>
      </c>
      <c r="D492" s="5">
        <v>6234000600</v>
      </c>
      <c r="E492" s="156">
        <v>44674</v>
      </c>
      <c r="F492" s="155">
        <v>28136</v>
      </c>
      <c r="G492" s="5" t="s">
        <v>1</v>
      </c>
      <c r="H492" s="6"/>
      <c r="I492" s="87">
        <v>0</v>
      </c>
      <c r="J492" s="86">
        <v>24.9</v>
      </c>
      <c r="K492" s="6"/>
      <c r="L492" s="6"/>
      <c r="M492" s="6"/>
      <c r="N492" s="6"/>
      <c r="O492" s="92">
        <v>32700</v>
      </c>
      <c r="P492" s="91" t="s">
        <v>280</v>
      </c>
      <c r="Q492" s="97">
        <v>24.9</v>
      </c>
      <c r="R492" s="97">
        <v>24.9</v>
      </c>
      <c r="S492" t="s">
        <v>433</v>
      </c>
      <c r="T492">
        <f t="shared" si="28"/>
        <v>700586.39999999991</v>
      </c>
      <c r="U492">
        <f t="shared" si="29"/>
        <v>4564</v>
      </c>
      <c r="V492">
        <f t="shared" si="30"/>
        <v>814230</v>
      </c>
      <c r="W492">
        <f t="shared" si="31"/>
        <v>113643.60000000009</v>
      </c>
    </row>
    <row r="493" spans="1:23" x14ac:dyDescent="0.25">
      <c r="A493" s="204">
        <v>7203454549</v>
      </c>
      <c r="B493" s="204">
        <v>7203175930</v>
      </c>
      <c r="C493" s="126" t="s">
        <v>282</v>
      </c>
      <c r="D493" s="5">
        <v>6234000600</v>
      </c>
      <c r="E493" s="156">
        <v>44674</v>
      </c>
      <c r="F493" s="155">
        <v>28136</v>
      </c>
      <c r="G493" s="5" t="s">
        <v>1</v>
      </c>
      <c r="H493" s="6"/>
      <c r="I493" s="87">
        <v>0</v>
      </c>
      <c r="J493" s="86">
        <v>25.14</v>
      </c>
      <c r="K493" s="6"/>
      <c r="L493" s="6"/>
      <c r="M493" s="6"/>
      <c r="N493" s="6"/>
      <c r="O493" s="92">
        <v>32700</v>
      </c>
      <c r="P493" s="91" t="s">
        <v>280</v>
      </c>
      <c r="Q493" s="97">
        <v>25.14</v>
      </c>
      <c r="R493" s="97">
        <v>25.14</v>
      </c>
      <c r="S493" t="s">
        <v>433</v>
      </c>
      <c r="T493">
        <f t="shared" si="28"/>
        <v>707339.04</v>
      </c>
      <c r="U493">
        <f t="shared" si="29"/>
        <v>4564</v>
      </c>
      <c r="V493">
        <f t="shared" si="30"/>
        <v>822078</v>
      </c>
      <c r="W493">
        <f t="shared" si="31"/>
        <v>114738.95999999996</v>
      </c>
    </row>
    <row r="494" spans="1:23" x14ac:dyDescent="0.25">
      <c r="A494" s="204">
        <v>7203454549</v>
      </c>
      <c r="B494" s="204">
        <v>7203175930</v>
      </c>
      <c r="C494" s="126" t="s">
        <v>282</v>
      </c>
      <c r="D494" s="5">
        <v>6234000600</v>
      </c>
      <c r="E494" s="156">
        <v>44676</v>
      </c>
      <c r="F494" s="155">
        <v>28136</v>
      </c>
      <c r="G494" s="5" t="s">
        <v>1</v>
      </c>
      <c r="H494" s="6"/>
      <c r="I494" s="87">
        <v>0</v>
      </c>
      <c r="J494" s="86">
        <v>26.28</v>
      </c>
      <c r="K494" s="6"/>
      <c r="L494" s="6"/>
      <c r="M494" s="6"/>
      <c r="N494" s="6"/>
      <c r="O494" s="92">
        <v>32700</v>
      </c>
      <c r="P494" s="91" t="s">
        <v>280</v>
      </c>
      <c r="Q494" s="97">
        <v>26.28</v>
      </c>
      <c r="R494" s="97">
        <v>26.28</v>
      </c>
      <c r="S494" t="s">
        <v>433</v>
      </c>
      <c r="T494">
        <f t="shared" si="28"/>
        <v>739414.08000000007</v>
      </c>
      <c r="U494">
        <f t="shared" si="29"/>
        <v>4564</v>
      </c>
      <c r="V494">
        <f t="shared" si="30"/>
        <v>859356</v>
      </c>
      <c r="W494">
        <f t="shared" si="31"/>
        <v>119941.91999999993</v>
      </c>
    </row>
    <row r="495" spans="1:23" x14ac:dyDescent="0.25">
      <c r="A495" s="204">
        <v>7203454549</v>
      </c>
      <c r="B495" s="204">
        <v>7203175930</v>
      </c>
      <c r="C495" s="126" t="s">
        <v>282</v>
      </c>
      <c r="D495" s="5">
        <v>6234000600</v>
      </c>
      <c r="E495" s="156">
        <v>44676</v>
      </c>
      <c r="F495" s="155">
        <v>28136</v>
      </c>
      <c r="G495" s="5" t="s">
        <v>1</v>
      </c>
      <c r="H495" s="6"/>
      <c r="I495" s="87">
        <v>0</v>
      </c>
      <c r="J495" s="86">
        <v>26.18</v>
      </c>
      <c r="K495" s="6"/>
      <c r="L495" s="6"/>
      <c r="M495" s="6"/>
      <c r="N495" s="6"/>
      <c r="O495" s="92">
        <v>32700</v>
      </c>
      <c r="P495" s="91" t="s">
        <v>280</v>
      </c>
      <c r="Q495" s="97">
        <v>26.18</v>
      </c>
      <c r="R495" s="97">
        <v>26.18</v>
      </c>
      <c r="S495" t="s">
        <v>433</v>
      </c>
      <c r="T495">
        <f t="shared" si="28"/>
        <v>736600.48</v>
      </c>
      <c r="U495">
        <f t="shared" si="29"/>
        <v>4564</v>
      </c>
      <c r="V495">
        <f t="shared" si="30"/>
        <v>856086</v>
      </c>
      <c r="W495">
        <f t="shared" si="31"/>
        <v>119485.52000000002</v>
      </c>
    </row>
    <row r="496" spans="1:23" x14ac:dyDescent="0.25">
      <c r="A496" s="204">
        <v>7203454549</v>
      </c>
      <c r="B496" s="204">
        <v>7203175930</v>
      </c>
      <c r="C496" s="126" t="s">
        <v>282</v>
      </c>
      <c r="D496" s="5">
        <v>6234000600</v>
      </c>
      <c r="E496" s="156">
        <v>44677</v>
      </c>
      <c r="F496" s="155">
        <v>28136</v>
      </c>
      <c r="G496" s="5" t="s">
        <v>1</v>
      </c>
      <c r="H496" s="6"/>
      <c r="I496" s="87">
        <v>0</v>
      </c>
      <c r="J496" s="102">
        <v>26.4</v>
      </c>
      <c r="K496" s="6"/>
      <c r="L496" s="6"/>
      <c r="M496" s="6"/>
      <c r="N496" s="6"/>
      <c r="O496" s="101">
        <v>32700</v>
      </c>
      <c r="P496" s="99" t="s">
        <v>280</v>
      </c>
      <c r="Q496" s="102">
        <v>26.4</v>
      </c>
      <c r="R496" s="102">
        <v>26.4</v>
      </c>
      <c r="S496" t="s">
        <v>433</v>
      </c>
      <c r="T496">
        <f t="shared" si="28"/>
        <v>742790.39999999991</v>
      </c>
      <c r="U496">
        <f t="shared" si="29"/>
        <v>4564</v>
      </c>
      <c r="V496">
        <f t="shared" si="30"/>
        <v>863280</v>
      </c>
      <c r="W496">
        <f t="shared" si="31"/>
        <v>120489.60000000009</v>
      </c>
    </row>
    <row r="497" spans="1:23" x14ac:dyDescent="0.25">
      <c r="A497" s="204">
        <v>7203454549</v>
      </c>
      <c r="B497" s="204">
        <v>7203175930</v>
      </c>
      <c r="C497" s="126" t="s">
        <v>282</v>
      </c>
      <c r="D497" s="5">
        <v>6234000600</v>
      </c>
      <c r="E497" s="156">
        <v>44677</v>
      </c>
      <c r="F497" s="155">
        <v>28136</v>
      </c>
      <c r="G497" s="5" t="s">
        <v>1</v>
      </c>
      <c r="H497" s="6"/>
      <c r="I497" s="87">
        <v>0</v>
      </c>
      <c r="J497" s="102">
        <v>25.42</v>
      </c>
      <c r="K497" s="6"/>
      <c r="L497" s="6"/>
      <c r="M497" s="6"/>
      <c r="N497" s="6"/>
      <c r="O497" s="101">
        <v>32700</v>
      </c>
      <c r="P497" s="99" t="s">
        <v>280</v>
      </c>
      <c r="Q497" s="102">
        <v>25.42</v>
      </c>
      <c r="R497" s="102">
        <v>25.42</v>
      </c>
      <c r="S497" t="s">
        <v>433</v>
      </c>
      <c r="T497">
        <f t="shared" si="28"/>
        <v>715217.12</v>
      </c>
      <c r="U497">
        <f t="shared" si="29"/>
        <v>4564</v>
      </c>
      <c r="V497">
        <f t="shared" si="30"/>
        <v>831234</v>
      </c>
      <c r="W497">
        <f t="shared" si="31"/>
        <v>116016.88</v>
      </c>
    </row>
    <row r="498" spans="1:23" x14ac:dyDescent="0.25">
      <c r="A498" s="204">
        <v>7203454549</v>
      </c>
      <c r="B498" s="204">
        <v>7203175930</v>
      </c>
      <c r="C498" s="126" t="s">
        <v>282</v>
      </c>
      <c r="D498" s="5">
        <v>6234000600</v>
      </c>
      <c r="E498" s="156">
        <v>44678</v>
      </c>
      <c r="F498" s="155">
        <v>28136</v>
      </c>
      <c r="G498" s="5" t="s">
        <v>1</v>
      </c>
      <c r="H498" s="6"/>
      <c r="I498" s="87">
        <v>0</v>
      </c>
      <c r="J498" s="102">
        <v>24.64</v>
      </c>
      <c r="K498" s="6"/>
      <c r="L498" s="6"/>
      <c r="M498" s="6"/>
      <c r="N498" s="6"/>
      <c r="O498" s="101">
        <v>32700</v>
      </c>
      <c r="P498" s="99" t="s">
        <v>280</v>
      </c>
      <c r="Q498" s="102">
        <v>24.64</v>
      </c>
      <c r="R498" s="102">
        <v>24.64</v>
      </c>
      <c r="S498" t="s">
        <v>433</v>
      </c>
      <c r="T498">
        <f t="shared" si="28"/>
        <v>693271.04000000004</v>
      </c>
      <c r="U498">
        <f t="shared" si="29"/>
        <v>4564</v>
      </c>
      <c r="V498">
        <f t="shared" si="30"/>
        <v>805728</v>
      </c>
      <c r="W498">
        <f t="shared" si="31"/>
        <v>112456.95999999996</v>
      </c>
    </row>
    <row r="499" spans="1:23" x14ac:dyDescent="0.25">
      <c r="A499" s="204">
        <v>7203454549</v>
      </c>
      <c r="B499" s="204">
        <v>7203175930</v>
      </c>
      <c r="C499" s="126" t="s">
        <v>282</v>
      </c>
      <c r="D499" s="5">
        <v>6234000600</v>
      </c>
      <c r="E499" s="156">
        <v>44678</v>
      </c>
      <c r="F499" s="155">
        <v>28136</v>
      </c>
      <c r="G499" s="5" t="s">
        <v>1</v>
      </c>
      <c r="H499" s="6"/>
      <c r="I499" s="87">
        <v>0</v>
      </c>
      <c r="J499" s="102">
        <v>25.16</v>
      </c>
      <c r="K499" s="6"/>
      <c r="L499" s="6"/>
      <c r="M499" s="6"/>
      <c r="N499" s="6"/>
      <c r="O499" s="101">
        <v>32700</v>
      </c>
      <c r="P499" s="99" t="s">
        <v>280</v>
      </c>
      <c r="Q499" s="102">
        <v>25.16</v>
      </c>
      <c r="R499" s="102">
        <v>25.16</v>
      </c>
      <c r="S499" t="s">
        <v>433</v>
      </c>
      <c r="T499">
        <f t="shared" si="28"/>
        <v>707901.76</v>
      </c>
      <c r="U499">
        <f t="shared" si="29"/>
        <v>4564</v>
      </c>
      <c r="V499">
        <f t="shared" si="30"/>
        <v>822732</v>
      </c>
      <c r="W499">
        <f t="shared" si="31"/>
        <v>114830.23999999999</v>
      </c>
    </row>
    <row r="500" spans="1:23" x14ac:dyDescent="0.25">
      <c r="A500" s="204">
        <v>7203454549</v>
      </c>
      <c r="B500" s="204">
        <v>7203175930</v>
      </c>
      <c r="C500" s="126" t="s">
        <v>282</v>
      </c>
      <c r="D500" s="5">
        <v>6234000600</v>
      </c>
      <c r="E500" s="156">
        <v>44678</v>
      </c>
      <c r="F500" s="155">
        <v>28136</v>
      </c>
      <c r="G500" s="5" t="s">
        <v>1</v>
      </c>
      <c r="H500" s="6"/>
      <c r="I500" s="87">
        <v>0</v>
      </c>
      <c r="J500" s="102">
        <v>24.42</v>
      </c>
      <c r="K500" s="6"/>
      <c r="L500" s="6"/>
      <c r="M500" s="6"/>
      <c r="N500" s="6"/>
      <c r="O500" s="101">
        <v>32700</v>
      </c>
      <c r="P500" s="99" t="s">
        <v>280</v>
      </c>
      <c r="Q500" s="102">
        <v>24.42</v>
      </c>
      <c r="R500" s="102">
        <v>24.42</v>
      </c>
      <c r="S500" t="s">
        <v>433</v>
      </c>
      <c r="T500">
        <f t="shared" si="28"/>
        <v>687081.12</v>
      </c>
      <c r="U500">
        <f t="shared" si="29"/>
        <v>4564</v>
      </c>
      <c r="V500">
        <f t="shared" si="30"/>
        <v>798534</v>
      </c>
      <c r="W500">
        <f t="shared" si="31"/>
        <v>111452.88</v>
      </c>
    </row>
    <row r="501" spans="1:23" x14ac:dyDescent="0.25">
      <c r="A501" s="204">
        <v>7203454549</v>
      </c>
      <c r="B501" s="204">
        <v>7203175930</v>
      </c>
      <c r="C501" s="126" t="s">
        <v>282</v>
      </c>
      <c r="D501" s="5">
        <v>6234000600</v>
      </c>
      <c r="E501" s="156">
        <v>44679</v>
      </c>
      <c r="F501" s="155">
        <v>28136</v>
      </c>
      <c r="G501" s="5" t="s">
        <v>1</v>
      </c>
      <c r="H501" s="6"/>
      <c r="I501" s="87">
        <v>0</v>
      </c>
      <c r="J501" s="102">
        <v>26.42</v>
      </c>
      <c r="K501" s="6"/>
      <c r="L501" s="6"/>
      <c r="M501" s="6"/>
      <c r="N501" s="6"/>
      <c r="O501" s="101">
        <v>32700</v>
      </c>
      <c r="P501" s="99" t="s">
        <v>280</v>
      </c>
      <c r="Q501" s="102">
        <v>26.42</v>
      </c>
      <c r="R501" s="102">
        <v>26.42</v>
      </c>
      <c r="S501" t="s">
        <v>433</v>
      </c>
      <c r="T501">
        <f t="shared" si="28"/>
        <v>743353.12</v>
      </c>
      <c r="U501">
        <f t="shared" si="29"/>
        <v>4564</v>
      </c>
      <c r="V501">
        <f t="shared" si="30"/>
        <v>863934</v>
      </c>
      <c r="W501">
        <f t="shared" si="31"/>
        <v>120580.88</v>
      </c>
    </row>
    <row r="502" spans="1:23" x14ac:dyDescent="0.25">
      <c r="A502" s="204">
        <v>7203454549</v>
      </c>
      <c r="B502" s="204">
        <v>7203175930</v>
      </c>
      <c r="C502" s="126" t="s">
        <v>282</v>
      </c>
      <c r="D502" s="5">
        <v>6234000600</v>
      </c>
      <c r="E502" s="156">
        <v>44680</v>
      </c>
      <c r="F502" s="155">
        <v>28136</v>
      </c>
      <c r="G502" s="5" t="s">
        <v>1</v>
      </c>
      <c r="H502" s="6"/>
      <c r="I502" s="87">
        <v>0</v>
      </c>
      <c r="J502" s="102">
        <v>26</v>
      </c>
      <c r="K502" s="6"/>
      <c r="L502" s="6"/>
      <c r="M502" s="6"/>
      <c r="N502" s="6"/>
      <c r="O502" s="101">
        <v>32700</v>
      </c>
      <c r="P502" s="99" t="s">
        <v>280</v>
      </c>
      <c r="Q502" s="102">
        <v>26</v>
      </c>
      <c r="R502" s="102">
        <v>26</v>
      </c>
      <c r="S502" t="s">
        <v>433</v>
      </c>
      <c r="T502">
        <f t="shared" si="28"/>
        <v>731536</v>
      </c>
      <c r="U502">
        <f t="shared" si="29"/>
        <v>4564</v>
      </c>
      <c r="V502">
        <f t="shared" si="30"/>
        <v>850200</v>
      </c>
      <c r="W502">
        <f t="shared" si="31"/>
        <v>118664</v>
      </c>
    </row>
    <row r="503" spans="1:23" x14ac:dyDescent="0.25">
      <c r="A503" s="204">
        <v>7203454549</v>
      </c>
      <c r="B503" s="204">
        <v>7203175930</v>
      </c>
      <c r="C503" s="126" t="s">
        <v>282</v>
      </c>
      <c r="D503" s="5">
        <v>6234000600</v>
      </c>
      <c r="E503" s="156">
        <v>44680</v>
      </c>
      <c r="F503" s="155">
        <v>28136</v>
      </c>
      <c r="G503" s="5" t="s">
        <v>1</v>
      </c>
      <c r="H503" s="6"/>
      <c r="I503" s="87">
        <v>0</v>
      </c>
      <c r="J503" s="102">
        <v>25.86</v>
      </c>
      <c r="K503" s="6"/>
      <c r="L503" s="6"/>
      <c r="M503" s="6"/>
      <c r="N503" s="6"/>
      <c r="O503" s="101">
        <v>32700</v>
      </c>
      <c r="P503" s="99" t="s">
        <v>280</v>
      </c>
      <c r="Q503" s="102">
        <v>25.86</v>
      </c>
      <c r="R503" s="102">
        <v>25.86</v>
      </c>
      <c r="S503" t="s">
        <v>433</v>
      </c>
      <c r="T503">
        <f t="shared" si="28"/>
        <v>727596.96</v>
      </c>
      <c r="U503">
        <f t="shared" si="29"/>
        <v>4564</v>
      </c>
      <c r="V503">
        <f t="shared" si="30"/>
        <v>845622</v>
      </c>
      <c r="W503">
        <f t="shared" si="31"/>
        <v>118025.04000000004</v>
      </c>
    </row>
    <row r="504" spans="1:23" x14ac:dyDescent="0.25">
      <c r="A504" s="204">
        <v>7203454549</v>
      </c>
      <c r="B504" s="204">
        <v>7203175930</v>
      </c>
      <c r="C504" s="126" t="s">
        <v>282</v>
      </c>
      <c r="D504" s="5">
        <v>6234000600</v>
      </c>
      <c r="E504" s="156">
        <v>44680</v>
      </c>
      <c r="F504" s="155">
        <v>28136</v>
      </c>
      <c r="G504" s="5" t="s">
        <v>1</v>
      </c>
      <c r="H504" s="6"/>
      <c r="I504" s="87">
        <v>0</v>
      </c>
      <c r="J504" s="102">
        <v>26.6</v>
      </c>
      <c r="K504" s="6"/>
      <c r="L504" s="6"/>
      <c r="M504" s="6"/>
      <c r="N504" s="6"/>
      <c r="O504" s="101">
        <v>32700</v>
      </c>
      <c r="P504" s="99" t="s">
        <v>280</v>
      </c>
      <c r="Q504" s="102">
        <v>26.6</v>
      </c>
      <c r="R504" s="102">
        <v>26.6</v>
      </c>
      <c r="S504" t="s">
        <v>433</v>
      </c>
      <c r="T504">
        <f t="shared" si="28"/>
        <v>748417.60000000009</v>
      </c>
      <c r="U504">
        <f t="shared" si="29"/>
        <v>4564</v>
      </c>
      <c r="V504">
        <f t="shared" si="30"/>
        <v>869820</v>
      </c>
      <c r="W504">
        <f t="shared" si="31"/>
        <v>121402.39999999991</v>
      </c>
    </row>
    <row r="505" spans="1:23" x14ac:dyDescent="0.25">
      <c r="A505" s="204">
        <v>7203454549</v>
      </c>
      <c r="B505" s="204">
        <v>7203175930</v>
      </c>
      <c r="C505" s="126" t="s">
        <v>282</v>
      </c>
      <c r="D505" s="5">
        <v>6234000600</v>
      </c>
      <c r="E505" s="156">
        <v>44680</v>
      </c>
      <c r="F505" s="155">
        <v>28136</v>
      </c>
      <c r="G505" s="5" t="s">
        <v>1</v>
      </c>
      <c r="H505" s="6"/>
      <c r="I505" s="87">
        <v>0</v>
      </c>
      <c r="J505" s="102">
        <v>26.32</v>
      </c>
      <c r="K505" s="6"/>
      <c r="L505" s="6"/>
      <c r="M505" s="6"/>
      <c r="N505" s="6"/>
      <c r="O505" s="101">
        <v>32700</v>
      </c>
      <c r="P505" s="99" t="s">
        <v>280</v>
      </c>
      <c r="Q505" s="102">
        <v>26.32</v>
      </c>
      <c r="R505" s="102">
        <v>26.32</v>
      </c>
      <c r="S505" t="s">
        <v>433</v>
      </c>
      <c r="T505">
        <f t="shared" si="28"/>
        <v>740539.52</v>
      </c>
      <c r="U505">
        <f t="shared" si="29"/>
        <v>4564</v>
      </c>
      <c r="V505">
        <f t="shared" si="30"/>
        <v>860664</v>
      </c>
      <c r="W505">
        <f t="shared" si="31"/>
        <v>120124.47999999998</v>
      </c>
    </row>
    <row r="506" spans="1:23" x14ac:dyDescent="0.25">
      <c r="A506" s="204">
        <v>7203454549</v>
      </c>
      <c r="B506" s="204">
        <v>7203175930</v>
      </c>
      <c r="C506" s="126" t="s">
        <v>282</v>
      </c>
      <c r="D506" s="5">
        <v>6234000600</v>
      </c>
      <c r="E506" s="156">
        <v>44682</v>
      </c>
      <c r="F506" s="155">
        <v>28391</v>
      </c>
      <c r="G506" s="5" t="s">
        <v>1</v>
      </c>
      <c r="H506" s="6"/>
      <c r="I506" s="87">
        <v>0</v>
      </c>
      <c r="J506" s="102">
        <v>25.54</v>
      </c>
      <c r="K506" s="6"/>
      <c r="L506" s="6"/>
      <c r="M506" s="6"/>
      <c r="N506" s="6"/>
      <c r="O506" s="101">
        <v>32700</v>
      </c>
      <c r="P506" s="99" t="s">
        <v>280</v>
      </c>
      <c r="Q506" s="102">
        <v>25.54</v>
      </c>
      <c r="R506" s="102">
        <v>25.54</v>
      </c>
      <c r="S506" t="s">
        <v>433</v>
      </c>
      <c r="T506">
        <f t="shared" si="28"/>
        <v>725106.14</v>
      </c>
      <c r="U506">
        <f t="shared" si="29"/>
        <v>4309</v>
      </c>
      <c r="V506">
        <f t="shared" si="30"/>
        <v>835158</v>
      </c>
      <c r="W506">
        <f t="shared" si="31"/>
        <v>110051.85999999999</v>
      </c>
    </row>
    <row r="507" spans="1:23" x14ac:dyDescent="0.25">
      <c r="A507" s="204">
        <v>7203454549</v>
      </c>
      <c r="B507" s="204">
        <v>7203175930</v>
      </c>
      <c r="C507" s="126" t="s">
        <v>282</v>
      </c>
      <c r="D507" s="5">
        <v>6234000600</v>
      </c>
      <c r="E507" s="156">
        <v>44682</v>
      </c>
      <c r="F507" s="155">
        <v>28391</v>
      </c>
      <c r="G507" s="5" t="s">
        <v>1</v>
      </c>
      <c r="H507" s="6"/>
      <c r="I507" s="87">
        <v>0</v>
      </c>
      <c r="J507" s="102">
        <v>26.24</v>
      </c>
      <c r="K507" s="6"/>
      <c r="L507" s="6"/>
      <c r="M507" s="6"/>
      <c r="N507" s="6"/>
      <c r="O507" s="101">
        <v>32700</v>
      </c>
      <c r="P507" s="99" t="s">
        <v>280</v>
      </c>
      <c r="Q507" s="102">
        <v>26.24</v>
      </c>
      <c r="R507" s="102">
        <v>26.24</v>
      </c>
      <c r="S507" t="s">
        <v>433</v>
      </c>
      <c r="T507">
        <f t="shared" si="28"/>
        <v>744979.84</v>
      </c>
      <c r="U507">
        <f t="shared" si="29"/>
        <v>4309</v>
      </c>
      <c r="V507">
        <f t="shared" si="30"/>
        <v>858048</v>
      </c>
      <c r="W507">
        <f t="shared" si="31"/>
        <v>113068.16000000003</v>
      </c>
    </row>
    <row r="508" spans="1:23" x14ac:dyDescent="0.25">
      <c r="A508" s="204">
        <v>7203454549</v>
      </c>
      <c r="B508" s="204">
        <v>7203175930</v>
      </c>
      <c r="C508" s="126" t="s">
        <v>282</v>
      </c>
      <c r="D508" s="5">
        <v>6234000600</v>
      </c>
      <c r="E508" s="156">
        <v>44682</v>
      </c>
      <c r="F508" s="155">
        <v>28391</v>
      </c>
      <c r="G508" s="5" t="s">
        <v>1</v>
      </c>
      <c r="H508" s="6"/>
      <c r="I508" s="87">
        <v>0</v>
      </c>
      <c r="J508" s="102">
        <v>26.44</v>
      </c>
      <c r="K508" s="6"/>
      <c r="L508" s="6"/>
      <c r="M508" s="6"/>
      <c r="N508" s="6"/>
      <c r="O508" s="101">
        <v>32700</v>
      </c>
      <c r="P508" s="99" t="s">
        <v>280</v>
      </c>
      <c r="Q508" s="102">
        <v>26.44</v>
      </c>
      <c r="R508" s="102">
        <v>26.44</v>
      </c>
      <c r="S508" t="s">
        <v>433</v>
      </c>
      <c r="T508">
        <f t="shared" si="28"/>
        <v>750658.04</v>
      </c>
      <c r="U508">
        <f t="shared" si="29"/>
        <v>4309</v>
      </c>
      <c r="V508">
        <f t="shared" si="30"/>
        <v>864588</v>
      </c>
      <c r="W508">
        <f t="shared" si="31"/>
        <v>113929.95999999996</v>
      </c>
    </row>
    <row r="509" spans="1:23" x14ac:dyDescent="0.25">
      <c r="A509" s="204">
        <v>7203454549</v>
      </c>
      <c r="B509" s="204">
        <v>7203175930</v>
      </c>
      <c r="C509" s="126" t="s">
        <v>282</v>
      </c>
      <c r="D509" s="5">
        <v>6234000600</v>
      </c>
      <c r="E509" s="156">
        <v>44682</v>
      </c>
      <c r="F509" s="155">
        <v>28391</v>
      </c>
      <c r="G509" s="5" t="s">
        <v>1</v>
      </c>
      <c r="H509" s="6"/>
      <c r="I509" s="87">
        <v>0</v>
      </c>
      <c r="J509" s="102">
        <v>26.24</v>
      </c>
      <c r="K509" s="6"/>
      <c r="L509" s="6"/>
      <c r="M509" s="6"/>
      <c r="N509" s="6"/>
      <c r="O509" s="101">
        <v>32700</v>
      </c>
      <c r="P509" s="99" t="s">
        <v>280</v>
      </c>
      <c r="Q509" s="102">
        <v>26.24</v>
      </c>
      <c r="R509" s="102">
        <v>26.24</v>
      </c>
      <c r="S509" t="s">
        <v>433</v>
      </c>
      <c r="T509">
        <f t="shared" si="28"/>
        <v>744979.84</v>
      </c>
      <c r="U509">
        <f t="shared" si="29"/>
        <v>4309</v>
      </c>
      <c r="V509">
        <f t="shared" si="30"/>
        <v>858048</v>
      </c>
      <c r="W509">
        <f t="shared" si="31"/>
        <v>113068.16000000003</v>
      </c>
    </row>
    <row r="510" spans="1:23" x14ac:dyDescent="0.25">
      <c r="A510" s="204">
        <v>7203454549</v>
      </c>
      <c r="B510" s="204">
        <v>7203175930</v>
      </c>
      <c r="C510" s="126" t="s">
        <v>282</v>
      </c>
      <c r="D510" s="5">
        <v>6234000600</v>
      </c>
      <c r="E510" s="156">
        <v>44684</v>
      </c>
      <c r="F510" s="155">
        <v>28391</v>
      </c>
      <c r="G510" s="5" t="s">
        <v>1</v>
      </c>
      <c r="H510" s="6"/>
      <c r="I510" s="87">
        <v>0</v>
      </c>
      <c r="J510" s="102">
        <v>26.2</v>
      </c>
      <c r="K510" s="6"/>
      <c r="L510" s="6"/>
      <c r="M510" s="6"/>
      <c r="N510" s="6"/>
      <c r="O510" s="101">
        <v>32700</v>
      </c>
      <c r="P510" s="99" t="s">
        <v>280</v>
      </c>
      <c r="Q510" s="102">
        <v>26.2</v>
      </c>
      <c r="R510" s="102">
        <v>26.2</v>
      </c>
      <c r="S510" t="s">
        <v>433</v>
      </c>
      <c r="T510">
        <f t="shared" si="28"/>
        <v>743844.2</v>
      </c>
      <c r="U510">
        <f t="shared" si="29"/>
        <v>4309</v>
      </c>
      <c r="V510">
        <f t="shared" si="30"/>
        <v>856740</v>
      </c>
      <c r="W510">
        <f t="shared" si="31"/>
        <v>112895.80000000005</v>
      </c>
    </row>
    <row r="511" spans="1:23" x14ac:dyDescent="0.25">
      <c r="A511" s="204">
        <v>7203454549</v>
      </c>
      <c r="B511" s="204">
        <v>7203175930</v>
      </c>
      <c r="C511" s="126" t="s">
        <v>282</v>
      </c>
      <c r="D511" s="5">
        <v>6234000600</v>
      </c>
      <c r="E511" s="156">
        <v>44684</v>
      </c>
      <c r="F511" s="155">
        <v>28391</v>
      </c>
      <c r="G511" s="5" t="s">
        <v>1</v>
      </c>
      <c r="H511" s="6"/>
      <c r="I511" s="87">
        <v>0</v>
      </c>
      <c r="J511" s="102">
        <v>25.86</v>
      </c>
      <c r="K511" s="6"/>
      <c r="L511" s="6"/>
      <c r="M511" s="6"/>
      <c r="N511" s="6"/>
      <c r="O511" s="101">
        <v>32700</v>
      </c>
      <c r="P511" s="99" t="s">
        <v>280</v>
      </c>
      <c r="Q511" s="102">
        <v>25.86</v>
      </c>
      <c r="R511" s="102">
        <v>25.86</v>
      </c>
      <c r="S511" t="s">
        <v>433</v>
      </c>
      <c r="T511">
        <f t="shared" si="28"/>
        <v>734191.26</v>
      </c>
      <c r="U511">
        <f t="shared" si="29"/>
        <v>4309</v>
      </c>
      <c r="V511">
        <f t="shared" si="30"/>
        <v>845622</v>
      </c>
      <c r="W511">
        <f t="shared" si="31"/>
        <v>111430.73999999999</v>
      </c>
    </row>
    <row r="512" spans="1:23" x14ac:dyDescent="0.25">
      <c r="A512" s="204">
        <v>7203454549</v>
      </c>
      <c r="B512" s="204">
        <v>7203175930</v>
      </c>
      <c r="C512" s="126" t="s">
        <v>282</v>
      </c>
      <c r="D512" s="5">
        <v>6234000600</v>
      </c>
      <c r="E512" s="156">
        <v>44684</v>
      </c>
      <c r="F512" s="155">
        <v>28391</v>
      </c>
      <c r="G512" s="5" t="s">
        <v>1</v>
      </c>
      <c r="H512" s="6"/>
      <c r="I512" s="87">
        <v>0</v>
      </c>
      <c r="J512" s="102">
        <v>26.16</v>
      </c>
      <c r="K512" s="6"/>
      <c r="L512" s="6"/>
      <c r="M512" s="6"/>
      <c r="N512" s="6"/>
      <c r="O512" s="101">
        <v>32700</v>
      </c>
      <c r="P512" s="99" t="s">
        <v>280</v>
      </c>
      <c r="Q512" s="102">
        <v>26.16</v>
      </c>
      <c r="R512" s="102">
        <v>26.16</v>
      </c>
      <c r="S512" t="s">
        <v>433</v>
      </c>
      <c r="T512">
        <f t="shared" si="28"/>
        <v>742708.56</v>
      </c>
      <c r="U512">
        <f t="shared" si="29"/>
        <v>4309</v>
      </c>
      <c r="V512">
        <f t="shared" si="30"/>
        <v>855432</v>
      </c>
      <c r="W512">
        <f t="shared" si="31"/>
        <v>112723.43999999994</v>
      </c>
    </row>
    <row r="513" spans="1:23" x14ac:dyDescent="0.25">
      <c r="A513" s="204">
        <v>7203454549</v>
      </c>
      <c r="B513" s="204">
        <v>7203175930</v>
      </c>
      <c r="C513" s="126" t="s">
        <v>282</v>
      </c>
      <c r="D513" s="5">
        <v>6234000600</v>
      </c>
      <c r="E513" s="156">
        <v>44684</v>
      </c>
      <c r="F513" s="155">
        <v>28391</v>
      </c>
      <c r="G513" s="5" t="s">
        <v>1</v>
      </c>
      <c r="H513" s="6"/>
      <c r="I513" s="87">
        <v>0</v>
      </c>
      <c r="J513" s="102">
        <v>25.72</v>
      </c>
      <c r="K513" s="6"/>
      <c r="L513" s="6"/>
      <c r="M513" s="6"/>
      <c r="N513" s="6"/>
      <c r="O513" s="101">
        <v>32700</v>
      </c>
      <c r="P513" s="99" t="s">
        <v>280</v>
      </c>
      <c r="Q513" s="102">
        <v>25.72</v>
      </c>
      <c r="R513" s="102">
        <v>25.72</v>
      </c>
      <c r="S513" t="s">
        <v>433</v>
      </c>
      <c r="T513">
        <f t="shared" si="28"/>
        <v>730216.52</v>
      </c>
      <c r="U513">
        <f t="shared" si="29"/>
        <v>4309</v>
      </c>
      <c r="V513">
        <f t="shared" si="30"/>
        <v>841044</v>
      </c>
      <c r="W513">
        <f t="shared" si="31"/>
        <v>110827.47999999998</v>
      </c>
    </row>
    <row r="514" spans="1:23" x14ac:dyDescent="0.25">
      <c r="A514" s="204">
        <v>7203454549</v>
      </c>
      <c r="B514" s="204">
        <v>7203175930</v>
      </c>
      <c r="C514" s="126" t="s">
        <v>287</v>
      </c>
      <c r="D514" s="5">
        <v>6234000600</v>
      </c>
      <c r="E514" s="156">
        <v>44594</v>
      </c>
      <c r="F514" s="155">
        <v>26100</v>
      </c>
      <c r="G514" s="10" t="s">
        <v>421</v>
      </c>
      <c r="H514" s="204">
        <v>5501208190</v>
      </c>
      <c r="I514" s="98">
        <v>1600</v>
      </c>
      <c r="J514" s="99">
        <v>26.28</v>
      </c>
      <c r="K514" s="3" t="s">
        <v>112</v>
      </c>
      <c r="L514" s="3" t="s">
        <v>221</v>
      </c>
      <c r="M514" s="6"/>
      <c r="N514" s="6"/>
      <c r="O514" s="99">
        <v>30750</v>
      </c>
      <c r="P514" s="99" t="s">
        <v>286</v>
      </c>
      <c r="Q514" s="99">
        <v>26.28</v>
      </c>
      <c r="R514" s="99">
        <v>26.28</v>
      </c>
      <c r="S514" t="s">
        <v>433</v>
      </c>
      <c r="T514">
        <f t="shared" si="28"/>
        <v>727956</v>
      </c>
      <c r="U514">
        <f t="shared" si="29"/>
        <v>3050</v>
      </c>
      <c r="V514">
        <f t="shared" si="30"/>
        <v>808110</v>
      </c>
      <c r="W514">
        <f t="shared" si="31"/>
        <v>80154</v>
      </c>
    </row>
    <row r="515" spans="1:23" x14ac:dyDescent="0.25">
      <c r="A515" s="204">
        <v>7203454549</v>
      </c>
      <c r="B515" s="204">
        <v>7203175930</v>
      </c>
      <c r="C515" s="126" t="s">
        <v>287</v>
      </c>
      <c r="D515" s="5">
        <v>6234000600</v>
      </c>
      <c r="E515" s="156">
        <v>44594</v>
      </c>
      <c r="F515" s="155">
        <v>26100</v>
      </c>
      <c r="G515" s="10" t="s">
        <v>421</v>
      </c>
      <c r="H515" s="204">
        <v>5501208190</v>
      </c>
      <c r="I515" s="98">
        <v>1600</v>
      </c>
      <c r="J515" s="99">
        <v>26.28</v>
      </c>
      <c r="K515" s="3" t="s">
        <v>101</v>
      </c>
      <c r="L515" s="3" t="s">
        <v>119</v>
      </c>
      <c r="M515" s="6"/>
      <c r="N515" s="6"/>
      <c r="O515" s="99">
        <v>30750</v>
      </c>
      <c r="P515" s="99" t="s">
        <v>286</v>
      </c>
      <c r="Q515" s="99">
        <v>26.28</v>
      </c>
      <c r="R515" s="99">
        <v>26.28</v>
      </c>
      <c r="S515" t="s">
        <v>433</v>
      </c>
      <c r="T515">
        <f t="shared" ref="T515:T578" si="32">(I515+F515)*J515</f>
        <v>727956</v>
      </c>
      <c r="U515">
        <f t="shared" ref="U515:U578" si="33">O515-(F515+I515)</f>
        <v>3050</v>
      </c>
      <c r="V515">
        <f t="shared" ref="V515:V578" si="34">O515*J515</f>
        <v>808110</v>
      </c>
      <c r="W515">
        <f t="shared" ref="W515:W578" si="35">V515-T515</f>
        <v>80154</v>
      </c>
    </row>
    <row r="516" spans="1:23" x14ac:dyDescent="0.25">
      <c r="A516" s="204">
        <v>7203454549</v>
      </c>
      <c r="B516" s="204">
        <v>7203175930</v>
      </c>
      <c r="C516" s="126" t="s">
        <v>287</v>
      </c>
      <c r="D516" s="5">
        <v>6234000600</v>
      </c>
      <c r="E516" s="156">
        <v>44594</v>
      </c>
      <c r="F516" s="155">
        <v>26100</v>
      </c>
      <c r="G516" s="10" t="s">
        <v>421</v>
      </c>
      <c r="H516" s="204">
        <v>5501208190</v>
      </c>
      <c r="I516" s="98">
        <v>1600</v>
      </c>
      <c r="J516" s="99">
        <v>26.34</v>
      </c>
      <c r="K516" s="3" t="s">
        <v>111</v>
      </c>
      <c r="L516" s="3" t="s">
        <v>128</v>
      </c>
      <c r="M516" s="6"/>
      <c r="N516" s="6"/>
      <c r="O516" s="99">
        <v>30750</v>
      </c>
      <c r="P516" s="99" t="s">
        <v>286</v>
      </c>
      <c r="Q516" s="99">
        <v>26.34</v>
      </c>
      <c r="R516" s="99">
        <v>26.34</v>
      </c>
      <c r="S516" t="s">
        <v>433</v>
      </c>
      <c r="T516">
        <f t="shared" si="32"/>
        <v>729618</v>
      </c>
      <c r="U516">
        <f t="shared" si="33"/>
        <v>3050</v>
      </c>
      <c r="V516">
        <f t="shared" si="34"/>
        <v>809955</v>
      </c>
      <c r="W516">
        <f t="shared" si="35"/>
        <v>80337</v>
      </c>
    </row>
    <row r="517" spans="1:23" x14ac:dyDescent="0.25">
      <c r="A517" s="204">
        <v>7203454549</v>
      </c>
      <c r="B517" s="204">
        <v>7203175930</v>
      </c>
      <c r="C517" s="126" t="s">
        <v>287</v>
      </c>
      <c r="D517" s="5">
        <v>6234000600</v>
      </c>
      <c r="E517" s="156">
        <v>44594</v>
      </c>
      <c r="F517" s="155">
        <v>26100</v>
      </c>
      <c r="G517" s="10" t="s">
        <v>421</v>
      </c>
      <c r="H517" s="204">
        <v>5501208190</v>
      </c>
      <c r="I517" s="98">
        <v>1600</v>
      </c>
      <c r="J517" s="99">
        <v>26.4</v>
      </c>
      <c r="K517" s="3" t="s">
        <v>288</v>
      </c>
      <c r="L517" s="3" t="s">
        <v>127</v>
      </c>
      <c r="M517" s="6"/>
      <c r="N517" s="6"/>
      <c r="O517" s="99">
        <v>30750</v>
      </c>
      <c r="P517" s="99" t="s">
        <v>286</v>
      </c>
      <c r="Q517" s="99">
        <v>26.4</v>
      </c>
      <c r="R517" s="99">
        <v>26.4</v>
      </c>
      <c r="S517" t="s">
        <v>433</v>
      </c>
      <c r="T517">
        <f t="shared" si="32"/>
        <v>731280</v>
      </c>
      <c r="U517">
        <f t="shared" si="33"/>
        <v>3050</v>
      </c>
      <c r="V517">
        <f t="shared" si="34"/>
        <v>811800</v>
      </c>
      <c r="W517">
        <f t="shared" si="35"/>
        <v>80520</v>
      </c>
    </row>
    <row r="518" spans="1:23" x14ac:dyDescent="0.25">
      <c r="A518" s="204">
        <v>7203454549</v>
      </c>
      <c r="B518" s="204">
        <v>7203175930</v>
      </c>
      <c r="C518" s="126" t="s">
        <v>287</v>
      </c>
      <c r="D518" s="5">
        <v>6234000600</v>
      </c>
      <c r="E518" s="156">
        <v>44594</v>
      </c>
      <c r="F518" s="155">
        <v>26100</v>
      </c>
      <c r="G518" s="10" t="s">
        <v>421</v>
      </c>
      <c r="H518" s="204">
        <v>5501132737</v>
      </c>
      <c r="I518" s="98">
        <v>1600</v>
      </c>
      <c r="J518" s="99">
        <v>26.48</v>
      </c>
      <c r="K518" s="3" t="s">
        <v>189</v>
      </c>
      <c r="L518" s="3" t="s">
        <v>234</v>
      </c>
      <c r="M518" s="6"/>
      <c r="N518" s="6"/>
      <c r="O518" s="99">
        <v>30750</v>
      </c>
      <c r="P518" s="99" t="s">
        <v>286</v>
      </c>
      <c r="Q518" s="99">
        <v>26.48</v>
      </c>
      <c r="R518" s="99">
        <v>26.48</v>
      </c>
      <c r="S518" t="s">
        <v>433</v>
      </c>
      <c r="T518">
        <f t="shared" si="32"/>
        <v>733496</v>
      </c>
      <c r="U518">
        <f t="shared" si="33"/>
        <v>3050</v>
      </c>
      <c r="V518">
        <f t="shared" si="34"/>
        <v>814260</v>
      </c>
      <c r="W518">
        <f t="shared" si="35"/>
        <v>80764</v>
      </c>
    </row>
    <row r="519" spans="1:23" x14ac:dyDescent="0.25">
      <c r="A519" s="204">
        <v>7203454549</v>
      </c>
      <c r="B519" s="204">
        <v>7203175930</v>
      </c>
      <c r="C519" s="126" t="s">
        <v>287</v>
      </c>
      <c r="D519" s="5">
        <v>6234000600</v>
      </c>
      <c r="E519" s="156">
        <v>44594</v>
      </c>
      <c r="F519" s="155">
        <v>26100</v>
      </c>
      <c r="G519" s="10" t="s">
        <v>421</v>
      </c>
      <c r="H519" s="204">
        <v>5501132737</v>
      </c>
      <c r="I519" s="98">
        <v>1600</v>
      </c>
      <c r="J519" s="99">
        <v>25.74</v>
      </c>
      <c r="K519" s="3" t="s">
        <v>195</v>
      </c>
      <c r="L519" s="3" t="s">
        <v>299</v>
      </c>
      <c r="M519" s="6"/>
      <c r="N519" s="6"/>
      <c r="O519" s="99">
        <v>30750</v>
      </c>
      <c r="P519" s="99" t="s">
        <v>286</v>
      </c>
      <c r="Q519" s="99">
        <v>25.74</v>
      </c>
      <c r="R519" s="99">
        <v>25.74</v>
      </c>
      <c r="S519" t="s">
        <v>433</v>
      </c>
      <c r="T519">
        <f t="shared" si="32"/>
        <v>712998</v>
      </c>
      <c r="U519">
        <f t="shared" si="33"/>
        <v>3050</v>
      </c>
      <c r="V519">
        <f t="shared" si="34"/>
        <v>791505</v>
      </c>
      <c r="W519">
        <f t="shared" si="35"/>
        <v>78507</v>
      </c>
    </row>
    <row r="520" spans="1:23" x14ac:dyDescent="0.25">
      <c r="A520" s="204">
        <v>7203454549</v>
      </c>
      <c r="B520" s="204">
        <v>7203175930</v>
      </c>
      <c r="C520" s="126" t="s">
        <v>287</v>
      </c>
      <c r="D520" s="5">
        <v>6234000600</v>
      </c>
      <c r="E520" s="156">
        <v>44594</v>
      </c>
      <c r="F520" s="155">
        <v>26100</v>
      </c>
      <c r="G520" s="10" t="s">
        <v>421</v>
      </c>
      <c r="H520" s="204">
        <v>5501132737</v>
      </c>
      <c r="I520" s="98">
        <v>1600</v>
      </c>
      <c r="J520" s="99">
        <v>26.28</v>
      </c>
      <c r="K520" s="3" t="s">
        <v>181</v>
      </c>
      <c r="L520" s="3" t="s">
        <v>225</v>
      </c>
      <c r="M520" s="6"/>
      <c r="N520" s="6"/>
      <c r="O520" s="99">
        <v>30750</v>
      </c>
      <c r="P520" s="99" t="s">
        <v>286</v>
      </c>
      <c r="Q520" s="99">
        <v>26.28</v>
      </c>
      <c r="R520" s="99">
        <v>26.28</v>
      </c>
      <c r="S520" t="s">
        <v>433</v>
      </c>
      <c r="T520">
        <f t="shared" si="32"/>
        <v>727956</v>
      </c>
      <c r="U520">
        <f t="shared" si="33"/>
        <v>3050</v>
      </c>
      <c r="V520">
        <f t="shared" si="34"/>
        <v>808110</v>
      </c>
      <c r="W520">
        <f t="shared" si="35"/>
        <v>80154</v>
      </c>
    </row>
    <row r="521" spans="1:23" x14ac:dyDescent="0.25">
      <c r="A521" s="204">
        <v>7203454549</v>
      </c>
      <c r="B521" s="204">
        <v>7203175930</v>
      </c>
      <c r="C521" s="126" t="s">
        <v>287</v>
      </c>
      <c r="D521" s="5">
        <v>6234000600</v>
      </c>
      <c r="E521" s="156">
        <v>44595</v>
      </c>
      <c r="F521" s="155">
        <v>26100</v>
      </c>
      <c r="G521" s="10" t="s">
        <v>421</v>
      </c>
      <c r="H521" s="204">
        <v>5501132737</v>
      </c>
      <c r="I521" s="98">
        <v>1600</v>
      </c>
      <c r="J521" s="99">
        <v>26.26</v>
      </c>
      <c r="K521" s="3" t="s">
        <v>197</v>
      </c>
      <c r="L521" s="3" t="s">
        <v>300</v>
      </c>
      <c r="M521" s="6"/>
      <c r="N521" s="6"/>
      <c r="O521" s="99">
        <v>30750</v>
      </c>
      <c r="P521" s="99" t="s">
        <v>286</v>
      </c>
      <c r="Q521" s="99">
        <v>26.26</v>
      </c>
      <c r="R521" s="99">
        <v>26.26</v>
      </c>
      <c r="S521" t="s">
        <v>433</v>
      </c>
      <c r="T521">
        <f t="shared" si="32"/>
        <v>727402</v>
      </c>
      <c r="U521">
        <f t="shared" si="33"/>
        <v>3050</v>
      </c>
      <c r="V521">
        <f t="shared" si="34"/>
        <v>807495</v>
      </c>
      <c r="W521">
        <f t="shared" si="35"/>
        <v>80093</v>
      </c>
    </row>
    <row r="522" spans="1:23" x14ac:dyDescent="0.25">
      <c r="A522" s="204">
        <v>7203454549</v>
      </c>
      <c r="B522" s="204">
        <v>7203175930</v>
      </c>
      <c r="C522" s="126" t="s">
        <v>287</v>
      </c>
      <c r="D522" s="5">
        <v>6234000600</v>
      </c>
      <c r="E522" s="156">
        <v>44595</v>
      </c>
      <c r="F522" s="155">
        <v>26100</v>
      </c>
      <c r="G522" s="10" t="s">
        <v>421</v>
      </c>
      <c r="H522" s="204">
        <v>5501132737</v>
      </c>
      <c r="I522" s="98">
        <v>1600</v>
      </c>
      <c r="J522" s="99">
        <v>26.72</v>
      </c>
      <c r="K522" s="3" t="s">
        <v>196</v>
      </c>
      <c r="L522" s="3" t="s">
        <v>239</v>
      </c>
      <c r="M522" s="6"/>
      <c r="N522" s="6"/>
      <c r="O522" s="99">
        <v>30750</v>
      </c>
      <c r="P522" s="99" t="s">
        <v>286</v>
      </c>
      <c r="Q522" s="99">
        <v>26.72</v>
      </c>
      <c r="R522" s="99">
        <v>26.72</v>
      </c>
      <c r="S522" t="s">
        <v>433</v>
      </c>
      <c r="T522">
        <f t="shared" si="32"/>
        <v>740144</v>
      </c>
      <c r="U522">
        <f t="shared" si="33"/>
        <v>3050</v>
      </c>
      <c r="V522">
        <f t="shared" si="34"/>
        <v>821640</v>
      </c>
      <c r="W522">
        <f t="shared" si="35"/>
        <v>81496</v>
      </c>
    </row>
    <row r="523" spans="1:23" x14ac:dyDescent="0.25">
      <c r="A523" s="204">
        <v>7203454549</v>
      </c>
      <c r="B523" s="204">
        <v>7203175930</v>
      </c>
      <c r="C523" s="126" t="s">
        <v>287</v>
      </c>
      <c r="D523" s="5">
        <v>6234000600</v>
      </c>
      <c r="E523" s="156">
        <v>44595</v>
      </c>
      <c r="F523" s="155">
        <v>26100</v>
      </c>
      <c r="G523" s="10" t="s">
        <v>421</v>
      </c>
      <c r="H523" s="204">
        <v>5501132737</v>
      </c>
      <c r="I523" s="98">
        <v>1600</v>
      </c>
      <c r="J523" s="99">
        <v>26.54</v>
      </c>
      <c r="K523" s="3" t="s">
        <v>189</v>
      </c>
      <c r="L523" s="3" t="s">
        <v>234</v>
      </c>
      <c r="M523" s="6"/>
      <c r="N523" s="6"/>
      <c r="O523" s="99">
        <v>30750</v>
      </c>
      <c r="P523" s="99" t="s">
        <v>286</v>
      </c>
      <c r="Q523" s="99">
        <v>26.54</v>
      </c>
      <c r="R523" s="99">
        <v>26.54</v>
      </c>
      <c r="S523" t="s">
        <v>433</v>
      </c>
      <c r="T523">
        <f t="shared" si="32"/>
        <v>735158</v>
      </c>
      <c r="U523">
        <f t="shared" si="33"/>
        <v>3050</v>
      </c>
      <c r="V523">
        <f t="shared" si="34"/>
        <v>816105</v>
      </c>
      <c r="W523">
        <f t="shared" si="35"/>
        <v>80947</v>
      </c>
    </row>
    <row r="524" spans="1:23" x14ac:dyDescent="0.25">
      <c r="A524" s="204">
        <v>7203454549</v>
      </c>
      <c r="B524" s="204">
        <v>7203175930</v>
      </c>
      <c r="C524" s="126" t="s">
        <v>287</v>
      </c>
      <c r="D524" s="5">
        <v>6234000600</v>
      </c>
      <c r="E524" s="156">
        <v>44595</v>
      </c>
      <c r="F524" s="155">
        <v>26100</v>
      </c>
      <c r="G524" s="10" t="s">
        <v>421</v>
      </c>
      <c r="H524" s="204">
        <v>5501132737</v>
      </c>
      <c r="I524" s="98">
        <v>1600</v>
      </c>
      <c r="J524" s="99">
        <v>26.72</v>
      </c>
      <c r="K524" s="3" t="s">
        <v>190</v>
      </c>
      <c r="L524" s="3" t="s">
        <v>301</v>
      </c>
      <c r="M524" s="6"/>
      <c r="N524" s="6"/>
      <c r="O524" s="99">
        <v>30750</v>
      </c>
      <c r="P524" s="99" t="s">
        <v>286</v>
      </c>
      <c r="Q524" s="99">
        <v>26.72</v>
      </c>
      <c r="R524" s="99">
        <v>26.72</v>
      </c>
      <c r="S524" t="s">
        <v>433</v>
      </c>
      <c r="T524">
        <f t="shared" si="32"/>
        <v>740144</v>
      </c>
      <c r="U524">
        <f t="shared" si="33"/>
        <v>3050</v>
      </c>
      <c r="V524">
        <f t="shared" si="34"/>
        <v>821640</v>
      </c>
      <c r="W524">
        <f t="shared" si="35"/>
        <v>81496</v>
      </c>
    </row>
    <row r="525" spans="1:23" x14ac:dyDescent="0.25">
      <c r="A525" s="204">
        <v>7203454549</v>
      </c>
      <c r="B525" s="204">
        <v>7203175930</v>
      </c>
      <c r="C525" s="126" t="s">
        <v>287</v>
      </c>
      <c r="D525" s="5">
        <v>6234000600</v>
      </c>
      <c r="E525" s="156">
        <v>44595</v>
      </c>
      <c r="F525" s="155">
        <v>26100</v>
      </c>
      <c r="G525" s="10" t="s">
        <v>421</v>
      </c>
      <c r="H525" s="204">
        <v>5503182532</v>
      </c>
      <c r="I525" s="98">
        <v>1600</v>
      </c>
      <c r="J525" s="99">
        <v>26.42</v>
      </c>
      <c r="K525" s="3" t="s">
        <v>2</v>
      </c>
      <c r="L525" s="3" t="s">
        <v>19</v>
      </c>
      <c r="M525" s="6"/>
      <c r="N525" s="6"/>
      <c r="O525" s="99">
        <v>30750</v>
      </c>
      <c r="P525" s="99" t="s">
        <v>286</v>
      </c>
      <c r="Q525" s="99">
        <v>26.42</v>
      </c>
      <c r="R525" s="99">
        <v>26.42</v>
      </c>
      <c r="S525" t="s">
        <v>433</v>
      </c>
      <c r="T525">
        <f t="shared" si="32"/>
        <v>731834</v>
      </c>
      <c r="U525">
        <f t="shared" si="33"/>
        <v>3050</v>
      </c>
      <c r="V525">
        <f t="shared" si="34"/>
        <v>812415</v>
      </c>
      <c r="W525">
        <f t="shared" si="35"/>
        <v>80581</v>
      </c>
    </row>
    <row r="526" spans="1:23" x14ac:dyDescent="0.25">
      <c r="A526" s="204">
        <v>7203454549</v>
      </c>
      <c r="B526" s="204">
        <v>7203175930</v>
      </c>
      <c r="C526" s="126" t="s">
        <v>287</v>
      </c>
      <c r="D526" s="5">
        <v>6234000600</v>
      </c>
      <c r="E526" s="156">
        <v>44595</v>
      </c>
      <c r="F526" s="155">
        <v>26100</v>
      </c>
      <c r="G526" s="10" t="s">
        <v>421</v>
      </c>
      <c r="H526" s="204">
        <v>5503182532</v>
      </c>
      <c r="I526" s="98">
        <v>1600</v>
      </c>
      <c r="J526" s="99">
        <v>26.38</v>
      </c>
      <c r="K526" s="3" t="s">
        <v>97</v>
      </c>
      <c r="L526" s="3" t="s">
        <v>229</v>
      </c>
      <c r="M526" s="6"/>
      <c r="N526" s="6"/>
      <c r="O526" s="99">
        <v>30750</v>
      </c>
      <c r="P526" s="99" t="s">
        <v>286</v>
      </c>
      <c r="Q526" s="99">
        <v>26.38</v>
      </c>
      <c r="R526" s="99">
        <v>26.38</v>
      </c>
      <c r="S526" t="s">
        <v>433</v>
      </c>
      <c r="T526">
        <f t="shared" si="32"/>
        <v>730726</v>
      </c>
      <c r="U526">
        <f t="shared" si="33"/>
        <v>3050</v>
      </c>
      <c r="V526">
        <f t="shared" si="34"/>
        <v>811185</v>
      </c>
      <c r="W526">
        <f t="shared" si="35"/>
        <v>80459</v>
      </c>
    </row>
    <row r="527" spans="1:23" x14ac:dyDescent="0.25">
      <c r="A527" s="204">
        <v>7203454549</v>
      </c>
      <c r="B527" s="204">
        <v>7203175930</v>
      </c>
      <c r="C527" s="126" t="s">
        <v>287</v>
      </c>
      <c r="D527" s="5">
        <v>6234000600</v>
      </c>
      <c r="E527" s="156">
        <v>44598</v>
      </c>
      <c r="F527" s="155">
        <v>27795</v>
      </c>
      <c r="G527" s="10" t="s">
        <v>1</v>
      </c>
      <c r="H527" s="100"/>
      <c r="I527" s="98">
        <v>0</v>
      </c>
      <c r="J527" s="99">
        <v>24.82</v>
      </c>
      <c r="K527" s="3" t="s">
        <v>195</v>
      </c>
      <c r="L527" s="3" t="s">
        <v>299</v>
      </c>
      <c r="M527" s="6"/>
      <c r="N527" s="6"/>
      <c r="O527" s="99">
        <v>30750</v>
      </c>
      <c r="P527" s="99" t="s">
        <v>286</v>
      </c>
      <c r="Q527" s="99">
        <v>24.82</v>
      </c>
      <c r="R527" s="99">
        <v>24.82</v>
      </c>
      <c r="S527" t="s">
        <v>433</v>
      </c>
      <c r="T527">
        <f t="shared" si="32"/>
        <v>689871.9</v>
      </c>
      <c r="U527">
        <f t="shared" si="33"/>
        <v>2955</v>
      </c>
      <c r="V527">
        <f t="shared" si="34"/>
        <v>763215</v>
      </c>
      <c r="W527">
        <f t="shared" si="35"/>
        <v>73343.099999999977</v>
      </c>
    </row>
    <row r="528" spans="1:23" x14ac:dyDescent="0.25">
      <c r="A528" s="204">
        <v>7203454549</v>
      </c>
      <c r="B528" s="204">
        <v>7203175930</v>
      </c>
      <c r="C528" s="126" t="s">
        <v>287</v>
      </c>
      <c r="D528" s="5">
        <v>6234000600</v>
      </c>
      <c r="E528" s="156">
        <v>44598</v>
      </c>
      <c r="F528" s="155">
        <v>27795</v>
      </c>
      <c r="G528" s="10" t="s">
        <v>1</v>
      </c>
      <c r="H528" s="106"/>
      <c r="I528" s="98">
        <v>0</v>
      </c>
      <c r="J528" s="99">
        <v>26.36</v>
      </c>
      <c r="K528" s="3"/>
      <c r="L528" s="3" t="s">
        <v>302</v>
      </c>
      <c r="M528" s="6"/>
      <c r="N528" s="6"/>
      <c r="O528" s="99">
        <v>30750</v>
      </c>
      <c r="P528" s="99" t="s">
        <v>286</v>
      </c>
      <c r="Q528" s="99">
        <v>26.36</v>
      </c>
      <c r="R528" s="99">
        <v>26.36</v>
      </c>
      <c r="S528" t="s">
        <v>433</v>
      </c>
      <c r="T528">
        <f t="shared" si="32"/>
        <v>732676.2</v>
      </c>
      <c r="U528">
        <f t="shared" si="33"/>
        <v>2955</v>
      </c>
      <c r="V528">
        <f t="shared" si="34"/>
        <v>810570</v>
      </c>
      <c r="W528">
        <f t="shared" si="35"/>
        <v>77893.800000000047</v>
      </c>
    </row>
    <row r="529" spans="1:23" x14ac:dyDescent="0.25">
      <c r="A529" s="204">
        <v>7203454549</v>
      </c>
      <c r="B529" s="204">
        <v>7203175930</v>
      </c>
      <c r="C529" s="126" t="s">
        <v>287</v>
      </c>
      <c r="D529" s="5">
        <v>6234000600</v>
      </c>
      <c r="E529" s="156">
        <v>44598</v>
      </c>
      <c r="F529" s="155">
        <v>27795</v>
      </c>
      <c r="G529" s="10" t="s">
        <v>1</v>
      </c>
      <c r="H529" s="106"/>
      <c r="I529" s="98">
        <v>0</v>
      </c>
      <c r="J529" s="99">
        <v>22.94</v>
      </c>
      <c r="K529" s="3"/>
      <c r="L529" s="3" t="s">
        <v>303</v>
      </c>
      <c r="M529" s="6"/>
      <c r="N529" s="6"/>
      <c r="O529" s="99">
        <v>30750</v>
      </c>
      <c r="P529" s="99" t="s">
        <v>286</v>
      </c>
      <c r="Q529" s="99">
        <v>22.94</v>
      </c>
      <c r="R529" s="99">
        <v>22.94</v>
      </c>
      <c r="S529" t="s">
        <v>433</v>
      </c>
      <c r="T529">
        <f t="shared" si="32"/>
        <v>637617.30000000005</v>
      </c>
      <c r="U529">
        <f t="shared" si="33"/>
        <v>2955</v>
      </c>
      <c r="V529">
        <f t="shared" si="34"/>
        <v>705405</v>
      </c>
      <c r="W529">
        <f t="shared" si="35"/>
        <v>67787.699999999953</v>
      </c>
    </row>
    <row r="530" spans="1:23" x14ac:dyDescent="0.25">
      <c r="A530" s="204">
        <v>7203454549</v>
      </c>
      <c r="B530" s="204">
        <v>7203175930</v>
      </c>
      <c r="C530" s="126" t="s">
        <v>287</v>
      </c>
      <c r="D530" s="5">
        <v>6234000600</v>
      </c>
      <c r="E530" s="156">
        <v>44598</v>
      </c>
      <c r="F530" s="155">
        <v>27795</v>
      </c>
      <c r="G530" s="10" t="s">
        <v>1</v>
      </c>
      <c r="H530" s="106"/>
      <c r="I530" s="98">
        <v>0</v>
      </c>
      <c r="J530" s="99">
        <v>23.98</v>
      </c>
      <c r="K530" s="3"/>
      <c r="L530" s="3" t="s">
        <v>304</v>
      </c>
      <c r="M530" s="6"/>
      <c r="N530" s="6"/>
      <c r="O530" s="99">
        <v>30750</v>
      </c>
      <c r="P530" s="99" t="s">
        <v>286</v>
      </c>
      <c r="Q530" s="99">
        <v>23.98</v>
      </c>
      <c r="R530" s="99">
        <v>23.98</v>
      </c>
      <c r="S530" t="s">
        <v>433</v>
      </c>
      <c r="T530">
        <f t="shared" si="32"/>
        <v>666524.1</v>
      </c>
      <c r="U530">
        <f t="shared" si="33"/>
        <v>2955</v>
      </c>
      <c r="V530">
        <f t="shared" si="34"/>
        <v>737385</v>
      </c>
      <c r="W530">
        <f t="shared" si="35"/>
        <v>70860.900000000023</v>
      </c>
    </row>
    <row r="531" spans="1:23" x14ac:dyDescent="0.25">
      <c r="A531" s="204">
        <v>7203454549</v>
      </c>
      <c r="B531" s="204">
        <v>7203175930</v>
      </c>
      <c r="C531" s="126" t="s">
        <v>287</v>
      </c>
      <c r="D531" s="5">
        <v>6234000600</v>
      </c>
      <c r="E531" s="156">
        <v>44598</v>
      </c>
      <c r="F531" s="155">
        <v>27795</v>
      </c>
      <c r="G531" s="10" t="s">
        <v>1</v>
      </c>
      <c r="H531" s="106"/>
      <c r="I531" s="98">
        <v>0</v>
      </c>
      <c r="J531" s="99">
        <v>25.82</v>
      </c>
      <c r="K531" s="3"/>
      <c r="L531" s="3" t="s">
        <v>305</v>
      </c>
      <c r="M531" s="6"/>
      <c r="N531" s="6"/>
      <c r="O531" s="99">
        <v>30750</v>
      </c>
      <c r="P531" s="99" t="s">
        <v>286</v>
      </c>
      <c r="Q531" s="99">
        <v>25.82</v>
      </c>
      <c r="R531" s="99">
        <v>25.82</v>
      </c>
      <c r="S531" t="s">
        <v>433</v>
      </c>
      <c r="T531">
        <f t="shared" si="32"/>
        <v>717666.9</v>
      </c>
      <c r="U531">
        <f t="shared" si="33"/>
        <v>2955</v>
      </c>
      <c r="V531">
        <f t="shared" si="34"/>
        <v>793965</v>
      </c>
      <c r="W531">
        <f t="shared" si="35"/>
        <v>76298.099999999977</v>
      </c>
    </row>
    <row r="532" spans="1:23" x14ac:dyDescent="0.25">
      <c r="A532" s="204">
        <v>7203454549</v>
      </c>
      <c r="B532" s="204">
        <v>7203175930</v>
      </c>
      <c r="C532" s="126" t="s">
        <v>287</v>
      </c>
      <c r="D532" s="5">
        <v>6234000600</v>
      </c>
      <c r="E532" s="156">
        <v>44599</v>
      </c>
      <c r="F532" s="155">
        <v>27795</v>
      </c>
      <c r="G532" s="10" t="s">
        <v>1</v>
      </c>
      <c r="H532" s="106"/>
      <c r="I532" s="98">
        <v>0</v>
      </c>
      <c r="J532" s="99">
        <v>26.44</v>
      </c>
      <c r="K532" s="3" t="s">
        <v>186</v>
      </c>
      <c r="L532" s="3" t="s">
        <v>306</v>
      </c>
      <c r="M532" s="6"/>
      <c r="N532" s="6"/>
      <c r="O532" s="99">
        <v>30750</v>
      </c>
      <c r="P532" s="99" t="s">
        <v>286</v>
      </c>
      <c r="Q532" s="99">
        <v>26.44</v>
      </c>
      <c r="R532" s="99">
        <v>26.44</v>
      </c>
      <c r="S532" t="s">
        <v>433</v>
      </c>
      <c r="T532">
        <f t="shared" si="32"/>
        <v>734899.8</v>
      </c>
      <c r="U532">
        <f t="shared" si="33"/>
        <v>2955</v>
      </c>
      <c r="V532">
        <f t="shared" si="34"/>
        <v>813030</v>
      </c>
      <c r="W532">
        <f t="shared" si="35"/>
        <v>78130.199999999953</v>
      </c>
    </row>
    <row r="533" spans="1:23" x14ac:dyDescent="0.25">
      <c r="A533" s="204">
        <v>7203454549</v>
      </c>
      <c r="B533" s="204">
        <v>7203175930</v>
      </c>
      <c r="C533" s="126" t="s">
        <v>287</v>
      </c>
      <c r="D533" s="5">
        <v>6234000600</v>
      </c>
      <c r="E533" s="156">
        <v>44599</v>
      </c>
      <c r="F533" s="155">
        <v>27795</v>
      </c>
      <c r="G533" s="10" t="s">
        <v>1</v>
      </c>
      <c r="H533" s="106"/>
      <c r="I533" s="98">
        <v>0</v>
      </c>
      <c r="J533" s="99">
        <v>25.98</v>
      </c>
      <c r="K533" s="3" t="s">
        <v>187</v>
      </c>
      <c r="L533" s="3" t="s">
        <v>307</v>
      </c>
      <c r="M533" s="6"/>
      <c r="N533" s="6"/>
      <c r="O533" s="99">
        <v>30750</v>
      </c>
      <c r="P533" s="99" t="s">
        <v>286</v>
      </c>
      <c r="Q533" s="99">
        <v>25.98</v>
      </c>
      <c r="R533" s="99">
        <v>25.98</v>
      </c>
      <c r="S533" t="s">
        <v>433</v>
      </c>
      <c r="T533">
        <f t="shared" si="32"/>
        <v>722114.1</v>
      </c>
      <c r="U533">
        <f t="shared" si="33"/>
        <v>2955</v>
      </c>
      <c r="V533">
        <f t="shared" si="34"/>
        <v>798885</v>
      </c>
      <c r="W533">
        <f t="shared" si="35"/>
        <v>76770.900000000023</v>
      </c>
    </row>
    <row r="534" spans="1:23" x14ac:dyDescent="0.25">
      <c r="A534" s="204">
        <v>7203454549</v>
      </c>
      <c r="B534" s="204">
        <v>7203175930</v>
      </c>
      <c r="C534" s="126" t="s">
        <v>287</v>
      </c>
      <c r="D534" s="5">
        <v>6234000600</v>
      </c>
      <c r="E534" s="156">
        <v>44599</v>
      </c>
      <c r="F534" s="155">
        <v>27795</v>
      </c>
      <c r="G534" s="10" t="s">
        <v>1</v>
      </c>
      <c r="H534" s="106"/>
      <c r="I534" s="98">
        <v>0</v>
      </c>
      <c r="J534" s="99">
        <v>24.58</v>
      </c>
      <c r="K534" s="3"/>
      <c r="L534" s="3"/>
      <c r="M534" s="6"/>
      <c r="N534" s="6"/>
      <c r="O534" s="99">
        <v>30750</v>
      </c>
      <c r="P534" s="99" t="s">
        <v>286</v>
      </c>
      <c r="Q534" s="99">
        <v>24.58</v>
      </c>
      <c r="R534" s="99">
        <v>24.58</v>
      </c>
      <c r="S534" t="s">
        <v>433</v>
      </c>
      <c r="T534">
        <f t="shared" si="32"/>
        <v>683201.1</v>
      </c>
      <c r="U534">
        <f t="shared" si="33"/>
        <v>2955</v>
      </c>
      <c r="V534">
        <f t="shared" si="34"/>
        <v>755835</v>
      </c>
      <c r="W534">
        <f t="shared" si="35"/>
        <v>72633.900000000023</v>
      </c>
    </row>
    <row r="535" spans="1:23" x14ac:dyDescent="0.25">
      <c r="A535" s="204">
        <v>7203454549</v>
      </c>
      <c r="B535" s="204">
        <v>7203175930</v>
      </c>
      <c r="C535" s="126" t="s">
        <v>287</v>
      </c>
      <c r="D535" s="5">
        <v>6234000600</v>
      </c>
      <c r="E535" s="156">
        <v>44599</v>
      </c>
      <c r="F535" s="155">
        <v>27795</v>
      </c>
      <c r="G535" s="10" t="s">
        <v>1</v>
      </c>
      <c r="H535" s="106"/>
      <c r="I535" s="98">
        <v>0</v>
      </c>
      <c r="J535" s="99">
        <v>24.8</v>
      </c>
      <c r="K535" s="3"/>
      <c r="L535" s="3"/>
      <c r="M535" s="6"/>
      <c r="N535" s="6"/>
      <c r="O535" s="99">
        <v>30750</v>
      </c>
      <c r="P535" s="99" t="s">
        <v>286</v>
      </c>
      <c r="Q535" s="99">
        <v>24.8</v>
      </c>
      <c r="R535" s="99">
        <v>24.8</v>
      </c>
      <c r="S535" t="s">
        <v>433</v>
      </c>
      <c r="T535">
        <f t="shared" si="32"/>
        <v>689316</v>
      </c>
      <c r="U535">
        <f t="shared" si="33"/>
        <v>2955</v>
      </c>
      <c r="V535">
        <f t="shared" si="34"/>
        <v>762600</v>
      </c>
      <c r="W535">
        <f t="shared" si="35"/>
        <v>73284</v>
      </c>
    </row>
    <row r="536" spans="1:23" x14ac:dyDescent="0.25">
      <c r="A536" s="204">
        <v>7203454549</v>
      </c>
      <c r="B536" s="204">
        <v>7203175930</v>
      </c>
      <c r="C536" s="126" t="s">
        <v>287</v>
      </c>
      <c r="D536" s="5">
        <v>6234000600</v>
      </c>
      <c r="E536" s="156">
        <v>44599</v>
      </c>
      <c r="F536" s="155">
        <v>27795</v>
      </c>
      <c r="G536" s="10" t="s">
        <v>1</v>
      </c>
      <c r="H536" s="106"/>
      <c r="I536" s="98">
        <v>0</v>
      </c>
      <c r="J536" s="99">
        <v>24.74</v>
      </c>
      <c r="K536" s="3"/>
      <c r="L536" s="3"/>
      <c r="M536" s="6"/>
      <c r="N536" s="6"/>
      <c r="O536" s="99">
        <v>30750</v>
      </c>
      <c r="P536" s="99" t="s">
        <v>286</v>
      </c>
      <c r="Q536" s="99">
        <v>24.74</v>
      </c>
      <c r="R536" s="99">
        <v>24.74</v>
      </c>
      <c r="S536" t="s">
        <v>433</v>
      </c>
      <c r="T536">
        <f t="shared" si="32"/>
        <v>687648.29999999993</v>
      </c>
      <c r="U536">
        <f t="shared" si="33"/>
        <v>2955</v>
      </c>
      <c r="V536">
        <f t="shared" si="34"/>
        <v>760755</v>
      </c>
      <c r="W536">
        <f t="shared" si="35"/>
        <v>73106.70000000007</v>
      </c>
    </row>
    <row r="537" spans="1:23" x14ac:dyDescent="0.25">
      <c r="A537" s="204">
        <v>7203454549</v>
      </c>
      <c r="B537" s="204">
        <v>7203175930</v>
      </c>
      <c r="C537" s="126" t="s">
        <v>287</v>
      </c>
      <c r="D537" s="5">
        <v>6234000600</v>
      </c>
      <c r="E537" s="156">
        <v>44601</v>
      </c>
      <c r="F537" s="155">
        <v>27795</v>
      </c>
      <c r="G537" s="10" t="s">
        <v>1</v>
      </c>
      <c r="H537" s="106"/>
      <c r="I537" s="98">
        <v>0</v>
      </c>
      <c r="J537" s="99">
        <v>26.54</v>
      </c>
      <c r="K537" s="3"/>
      <c r="L537" s="3" t="s">
        <v>308</v>
      </c>
      <c r="M537" s="6"/>
      <c r="N537" s="6"/>
      <c r="O537" s="99">
        <v>30750</v>
      </c>
      <c r="P537" s="99" t="s">
        <v>286</v>
      </c>
      <c r="Q537" s="99">
        <v>26.54</v>
      </c>
      <c r="R537" s="99">
        <v>26.54</v>
      </c>
      <c r="S537" t="s">
        <v>433</v>
      </c>
      <c r="T537">
        <f t="shared" si="32"/>
        <v>737679.29999999993</v>
      </c>
      <c r="U537">
        <f t="shared" si="33"/>
        <v>2955</v>
      </c>
      <c r="V537">
        <f t="shared" si="34"/>
        <v>816105</v>
      </c>
      <c r="W537">
        <f t="shared" si="35"/>
        <v>78425.70000000007</v>
      </c>
    </row>
    <row r="538" spans="1:23" x14ac:dyDescent="0.25">
      <c r="A538" s="204">
        <v>7203454549</v>
      </c>
      <c r="B538" s="204">
        <v>7203175930</v>
      </c>
      <c r="C538" s="126" t="s">
        <v>287</v>
      </c>
      <c r="D538" s="5">
        <v>6234000600</v>
      </c>
      <c r="E538" s="156">
        <v>44601</v>
      </c>
      <c r="F538" s="155">
        <v>27795</v>
      </c>
      <c r="G538" s="10" t="s">
        <v>1</v>
      </c>
      <c r="H538" s="106"/>
      <c r="I538" s="98">
        <v>0</v>
      </c>
      <c r="J538" s="99">
        <v>26.36</v>
      </c>
      <c r="K538" s="3"/>
      <c r="L538" s="3" t="s">
        <v>309</v>
      </c>
      <c r="M538" s="6"/>
      <c r="N538" s="6"/>
      <c r="O538" s="99">
        <v>30750</v>
      </c>
      <c r="P538" s="99" t="s">
        <v>286</v>
      </c>
      <c r="Q538" s="99">
        <v>26.36</v>
      </c>
      <c r="R538" s="99">
        <v>26.36</v>
      </c>
      <c r="S538" t="s">
        <v>433</v>
      </c>
      <c r="T538">
        <f t="shared" si="32"/>
        <v>732676.2</v>
      </c>
      <c r="U538">
        <f t="shared" si="33"/>
        <v>2955</v>
      </c>
      <c r="V538">
        <f t="shared" si="34"/>
        <v>810570</v>
      </c>
      <c r="W538">
        <f t="shared" si="35"/>
        <v>77893.800000000047</v>
      </c>
    </row>
    <row r="539" spans="1:23" x14ac:dyDescent="0.25">
      <c r="A539" s="204">
        <v>7203454549</v>
      </c>
      <c r="B539" s="204">
        <v>7203175930</v>
      </c>
      <c r="C539" s="126" t="s">
        <v>287</v>
      </c>
      <c r="D539" s="5">
        <v>6234000600</v>
      </c>
      <c r="E539" s="156">
        <v>44601</v>
      </c>
      <c r="F539" s="155">
        <v>27795</v>
      </c>
      <c r="G539" s="10" t="s">
        <v>1</v>
      </c>
      <c r="H539" s="106"/>
      <c r="I539" s="98">
        <v>0</v>
      </c>
      <c r="J539" s="99">
        <v>25.44</v>
      </c>
      <c r="K539" s="3"/>
      <c r="L539" s="3" t="s">
        <v>310</v>
      </c>
      <c r="M539" s="6"/>
      <c r="N539" s="6"/>
      <c r="O539" s="99">
        <v>30750</v>
      </c>
      <c r="P539" s="99" t="s">
        <v>286</v>
      </c>
      <c r="Q539" s="99">
        <v>25.44</v>
      </c>
      <c r="R539" s="99">
        <v>25.44</v>
      </c>
      <c r="S539" t="s">
        <v>433</v>
      </c>
      <c r="T539">
        <f t="shared" si="32"/>
        <v>707104.8</v>
      </c>
      <c r="U539">
        <f t="shared" si="33"/>
        <v>2955</v>
      </c>
      <c r="V539">
        <f t="shared" si="34"/>
        <v>782280</v>
      </c>
      <c r="W539">
        <f t="shared" si="35"/>
        <v>75175.199999999953</v>
      </c>
    </row>
    <row r="540" spans="1:23" x14ac:dyDescent="0.25">
      <c r="A540" s="204">
        <v>7203454549</v>
      </c>
      <c r="B540" s="204">
        <v>7203175930</v>
      </c>
      <c r="C540" s="126" t="s">
        <v>287</v>
      </c>
      <c r="D540" s="5">
        <v>6234000600</v>
      </c>
      <c r="E540" s="156">
        <v>44601</v>
      </c>
      <c r="F540" s="155">
        <v>27795</v>
      </c>
      <c r="G540" s="10" t="s">
        <v>1</v>
      </c>
      <c r="H540" s="106"/>
      <c r="I540" s="98">
        <v>0</v>
      </c>
      <c r="J540" s="99">
        <v>26.38</v>
      </c>
      <c r="K540" s="3"/>
      <c r="L540" s="3" t="s">
        <v>311</v>
      </c>
      <c r="M540" s="6"/>
      <c r="N540" s="6"/>
      <c r="O540" s="99">
        <v>30750</v>
      </c>
      <c r="P540" s="99" t="s">
        <v>286</v>
      </c>
      <c r="Q540" s="99">
        <v>26.38</v>
      </c>
      <c r="R540" s="99">
        <v>26.38</v>
      </c>
      <c r="S540" t="s">
        <v>433</v>
      </c>
      <c r="T540">
        <f t="shared" si="32"/>
        <v>733232.1</v>
      </c>
      <c r="U540">
        <f t="shared" si="33"/>
        <v>2955</v>
      </c>
      <c r="V540">
        <f t="shared" si="34"/>
        <v>811185</v>
      </c>
      <c r="W540">
        <f t="shared" si="35"/>
        <v>77952.900000000023</v>
      </c>
    </row>
    <row r="541" spans="1:23" x14ac:dyDescent="0.25">
      <c r="A541" s="204">
        <v>7203454549</v>
      </c>
      <c r="B541" s="204">
        <v>7203175930</v>
      </c>
      <c r="C541" s="126" t="s">
        <v>287</v>
      </c>
      <c r="D541" s="5">
        <v>6234000600</v>
      </c>
      <c r="E541" s="156">
        <v>44601</v>
      </c>
      <c r="F541" s="155">
        <v>27795</v>
      </c>
      <c r="G541" s="10" t="s">
        <v>1</v>
      </c>
      <c r="H541" s="106"/>
      <c r="I541" s="98">
        <v>0</v>
      </c>
      <c r="J541" s="99">
        <v>26.38</v>
      </c>
      <c r="K541" s="3"/>
      <c r="L541" s="3" t="s">
        <v>312</v>
      </c>
      <c r="M541" s="6"/>
      <c r="N541" s="6"/>
      <c r="O541" s="99">
        <v>30750</v>
      </c>
      <c r="P541" s="99" t="s">
        <v>286</v>
      </c>
      <c r="Q541" s="99">
        <v>26.38</v>
      </c>
      <c r="R541" s="99">
        <v>26.38</v>
      </c>
      <c r="S541" t="s">
        <v>433</v>
      </c>
      <c r="T541">
        <f t="shared" si="32"/>
        <v>733232.1</v>
      </c>
      <c r="U541">
        <f t="shared" si="33"/>
        <v>2955</v>
      </c>
      <c r="V541">
        <f t="shared" si="34"/>
        <v>811185</v>
      </c>
      <c r="W541">
        <f t="shared" si="35"/>
        <v>77952.900000000023</v>
      </c>
    </row>
    <row r="542" spans="1:23" x14ac:dyDescent="0.25">
      <c r="A542" s="204">
        <v>7203454549</v>
      </c>
      <c r="B542" s="204">
        <v>7203175930</v>
      </c>
      <c r="C542" s="126" t="s">
        <v>287</v>
      </c>
      <c r="D542" s="5">
        <v>6234000600</v>
      </c>
      <c r="E542" s="156">
        <v>44602</v>
      </c>
      <c r="F542" s="155">
        <v>27795</v>
      </c>
      <c r="G542" s="10" t="s">
        <v>1</v>
      </c>
      <c r="H542" s="106"/>
      <c r="I542" s="98">
        <v>0</v>
      </c>
      <c r="J542" s="99">
        <v>25.26</v>
      </c>
      <c r="K542" s="3" t="s">
        <v>206</v>
      </c>
      <c r="L542" s="3"/>
      <c r="M542" s="6"/>
      <c r="N542" s="6"/>
      <c r="O542" s="99">
        <v>30750</v>
      </c>
      <c r="P542" s="99" t="s">
        <v>286</v>
      </c>
      <c r="Q542" s="99">
        <v>25.26</v>
      </c>
      <c r="R542" s="99">
        <v>25.26</v>
      </c>
      <c r="S542" t="s">
        <v>433</v>
      </c>
      <c r="T542">
        <f t="shared" si="32"/>
        <v>702101.70000000007</v>
      </c>
      <c r="U542">
        <f t="shared" si="33"/>
        <v>2955</v>
      </c>
      <c r="V542">
        <f t="shared" si="34"/>
        <v>776745</v>
      </c>
      <c r="W542">
        <f t="shared" si="35"/>
        <v>74643.29999999993</v>
      </c>
    </row>
    <row r="543" spans="1:23" x14ac:dyDescent="0.25">
      <c r="A543" s="204">
        <v>7203454549</v>
      </c>
      <c r="B543" s="204">
        <v>7203175930</v>
      </c>
      <c r="C543" s="126" t="s">
        <v>287</v>
      </c>
      <c r="D543" s="5">
        <v>6234000600</v>
      </c>
      <c r="E543" s="156">
        <v>44602</v>
      </c>
      <c r="F543" s="155">
        <v>27795</v>
      </c>
      <c r="G543" s="10" t="s">
        <v>1</v>
      </c>
      <c r="H543" s="106"/>
      <c r="I543" s="98">
        <v>0</v>
      </c>
      <c r="J543" s="99">
        <v>25.3</v>
      </c>
      <c r="K543" s="3" t="s">
        <v>195</v>
      </c>
      <c r="L543" s="3"/>
      <c r="M543" s="6"/>
      <c r="N543" s="6"/>
      <c r="O543" s="99">
        <v>30750</v>
      </c>
      <c r="P543" s="99" t="s">
        <v>286</v>
      </c>
      <c r="Q543" s="99">
        <v>25.3</v>
      </c>
      <c r="R543" s="99">
        <v>25.3</v>
      </c>
      <c r="S543" t="s">
        <v>433</v>
      </c>
      <c r="T543">
        <f t="shared" si="32"/>
        <v>703213.5</v>
      </c>
      <c r="U543">
        <f t="shared" si="33"/>
        <v>2955</v>
      </c>
      <c r="V543">
        <f t="shared" si="34"/>
        <v>777975</v>
      </c>
      <c r="W543">
        <f t="shared" si="35"/>
        <v>74761.5</v>
      </c>
    </row>
    <row r="544" spans="1:23" x14ac:dyDescent="0.25">
      <c r="A544" s="204">
        <v>7203454549</v>
      </c>
      <c r="B544" s="204">
        <v>7203175930</v>
      </c>
      <c r="C544" s="126" t="s">
        <v>287</v>
      </c>
      <c r="D544" s="5">
        <v>6234000600</v>
      </c>
      <c r="E544" s="156">
        <v>44602</v>
      </c>
      <c r="F544" s="155">
        <v>27795</v>
      </c>
      <c r="G544" s="10" t="s">
        <v>1</v>
      </c>
      <c r="H544" s="106"/>
      <c r="I544" s="98">
        <v>0</v>
      </c>
      <c r="J544" s="99">
        <v>22.56</v>
      </c>
      <c r="K544" s="3" t="s">
        <v>289</v>
      </c>
      <c r="L544" s="3"/>
      <c r="M544" s="6"/>
      <c r="N544" s="6"/>
      <c r="O544" s="99">
        <v>30750</v>
      </c>
      <c r="P544" s="99" t="s">
        <v>286</v>
      </c>
      <c r="Q544" s="99">
        <v>22.56</v>
      </c>
      <c r="R544" s="99">
        <v>22.56</v>
      </c>
      <c r="S544" t="s">
        <v>433</v>
      </c>
      <c r="T544">
        <f t="shared" si="32"/>
        <v>627055.19999999995</v>
      </c>
      <c r="U544">
        <f t="shared" si="33"/>
        <v>2955</v>
      </c>
      <c r="V544">
        <f t="shared" si="34"/>
        <v>693720</v>
      </c>
      <c r="W544">
        <f t="shared" si="35"/>
        <v>66664.800000000047</v>
      </c>
    </row>
    <row r="545" spans="1:23" x14ac:dyDescent="0.25">
      <c r="A545" s="204">
        <v>7203454549</v>
      </c>
      <c r="B545" s="204">
        <v>7203175930</v>
      </c>
      <c r="C545" s="126" t="s">
        <v>287</v>
      </c>
      <c r="D545" s="5">
        <v>6234000600</v>
      </c>
      <c r="E545" s="156">
        <v>44602</v>
      </c>
      <c r="F545" s="155">
        <v>27795</v>
      </c>
      <c r="G545" s="10" t="s">
        <v>1</v>
      </c>
      <c r="H545" s="106"/>
      <c r="I545" s="98">
        <v>0</v>
      </c>
      <c r="J545" s="99">
        <v>23.08</v>
      </c>
      <c r="K545" s="3" t="s">
        <v>290</v>
      </c>
      <c r="L545" s="3"/>
      <c r="M545" s="6"/>
      <c r="N545" s="6"/>
      <c r="O545" s="99">
        <v>30750</v>
      </c>
      <c r="P545" s="99" t="s">
        <v>286</v>
      </c>
      <c r="Q545" s="99">
        <v>23.08</v>
      </c>
      <c r="R545" s="99">
        <v>23.08</v>
      </c>
      <c r="S545" t="s">
        <v>433</v>
      </c>
      <c r="T545">
        <f t="shared" si="32"/>
        <v>641508.6</v>
      </c>
      <c r="U545">
        <f t="shared" si="33"/>
        <v>2955</v>
      </c>
      <c r="V545">
        <f t="shared" si="34"/>
        <v>709710</v>
      </c>
      <c r="W545">
        <f t="shared" si="35"/>
        <v>68201.400000000023</v>
      </c>
    </row>
    <row r="546" spans="1:23" x14ac:dyDescent="0.25">
      <c r="A546" s="204">
        <v>7203454549</v>
      </c>
      <c r="B546" s="204">
        <v>7203175930</v>
      </c>
      <c r="C546" s="126" t="s">
        <v>287</v>
      </c>
      <c r="D546" s="5">
        <v>6234000600</v>
      </c>
      <c r="E546" s="156">
        <v>44603</v>
      </c>
      <c r="F546" s="155">
        <v>27795</v>
      </c>
      <c r="G546" s="10" t="s">
        <v>1</v>
      </c>
      <c r="H546" s="106"/>
      <c r="I546" s="98">
        <v>0</v>
      </c>
      <c r="J546" s="99">
        <v>24.22</v>
      </c>
      <c r="K546" s="3"/>
      <c r="L546" s="3"/>
      <c r="M546" s="6"/>
      <c r="N546" s="6"/>
      <c r="O546" s="99">
        <v>30750</v>
      </c>
      <c r="P546" s="99" t="s">
        <v>286</v>
      </c>
      <c r="Q546" s="99">
        <v>24.22</v>
      </c>
      <c r="R546" s="99">
        <v>24.22</v>
      </c>
      <c r="S546" t="s">
        <v>433</v>
      </c>
      <c r="T546">
        <f t="shared" si="32"/>
        <v>673194.9</v>
      </c>
      <c r="U546">
        <f t="shared" si="33"/>
        <v>2955</v>
      </c>
      <c r="V546">
        <f t="shared" si="34"/>
        <v>744765</v>
      </c>
      <c r="W546">
        <f t="shared" si="35"/>
        <v>71570.099999999977</v>
      </c>
    </row>
    <row r="547" spans="1:23" x14ac:dyDescent="0.25">
      <c r="A547" s="204">
        <v>7203454549</v>
      </c>
      <c r="B547" s="204">
        <v>7203175930</v>
      </c>
      <c r="C547" s="126" t="s">
        <v>287</v>
      </c>
      <c r="D547" s="5">
        <v>6234000600</v>
      </c>
      <c r="E547" s="156">
        <v>44603</v>
      </c>
      <c r="F547" s="155">
        <v>27795</v>
      </c>
      <c r="G547" s="10" t="s">
        <v>1</v>
      </c>
      <c r="H547" s="106"/>
      <c r="I547" s="98">
        <v>0</v>
      </c>
      <c r="J547" s="99">
        <v>26.46</v>
      </c>
      <c r="K547" s="3"/>
      <c r="L547" s="3"/>
      <c r="M547" s="6"/>
      <c r="N547" s="6"/>
      <c r="O547" s="99">
        <v>30750</v>
      </c>
      <c r="P547" s="99" t="s">
        <v>286</v>
      </c>
      <c r="Q547" s="99">
        <v>26.46</v>
      </c>
      <c r="R547" s="99">
        <v>26.46</v>
      </c>
      <c r="S547" t="s">
        <v>433</v>
      </c>
      <c r="T547">
        <f t="shared" si="32"/>
        <v>735455.70000000007</v>
      </c>
      <c r="U547">
        <f t="shared" si="33"/>
        <v>2955</v>
      </c>
      <c r="V547">
        <f t="shared" si="34"/>
        <v>813645</v>
      </c>
      <c r="W547">
        <f t="shared" si="35"/>
        <v>78189.29999999993</v>
      </c>
    </row>
    <row r="548" spans="1:23" x14ac:dyDescent="0.25">
      <c r="A548" s="204">
        <v>7203454549</v>
      </c>
      <c r="B548" s="204">
        <v>7203175930</v>
      </c>
      <c r="C548" s="126" t="s">
        <v>287</v>
      </c>
      <c r="D548" s="5">
        <v>6234000600</v>
      </c>
      <c r="E548" s="156">
        <v>44603</v>
      </c>
      <c r="F548" s="155">
        <v>27795</v>
      </c>
      <c r="G548" s="10" t="s">
        <v>1</v>
      </c>
      <c r="H548" s="106"/>
      <c r="I548" s="98">
        <v>0</v>
      </c>
      <c r="J548" s="99">
        <v>26.76</v>
      </c>
      <c r="K548" s="3"/>
      <c r="L548" s="3"/>
      <c r="M548" s="6"/>
      <c r="N548" s="6"/>
      <c r="O548" s="99">
        <v>30750</v>
      </c>
      <c r="P548" s="99" t="s">
        <v>286</v>
      </c>
      <c r="Q548" s="99">
        <v>26.76</v>
      </c>
      <c r="R548" s="99">
        <v>26.76</v>
      </c>
      <c r="S548" t="s">
        <v>433</v>
      </c>
      <c r="T548">
        <f t="shared" si="32"/>
        <v>743794.20000000007</v>
      </c>
      <c r="U548">
        <f t="shared" si="33"/>
        <v>2955</v>
      </c>
      <c r="V548">
        <f t="shared" si="34"/>
        <v>822870</v>
      </c>
      <c r="W548">
        <f t="shared" si="35"/>
        <v>79075.79999999993</v>
      </c>
    </row>
    <row r="549" spans="1:23" x14ac:dyDescent="0.25">
      <c r="A549" s="204">
        <v>7203454549</v>
      </c>
      <c r="B549" s="204">
        <v>7203175930</v>
      </c>
      <c r="C549" s="126" t="s">
        <v>287</v>
      </c>
      <c r="D549" s="5">
        <v>6234000600</v>
      </c>
      <c r="E549" s="156">
        <v>44603</v>
      </c>
      <c r="F549" s="155">
        <v>27795</v>
      </c>
      <c r="G549" s="10" t="s">
        <v>1</v>
      </c>
      <c r="H549" s="106"/>
      <c r="I549" s="98">
        <v>0</v>
      </c>
      <c r="J549" s="99">
        <v>22.64</v>
      </c>
      <c r="K549" s="3"/>
      <c r="L549" s="3"/>
      <c r="M549" s="6"/>
      <c r="N549" s="6"/>
      <c r="O549" s="99">
        <v>30750</v>
      </c>
      <c r="P549" s="99" t="s">
        <v>286</v>
      </c>
      <c r="Q549" s="99">
        <v>22.64</v>
      </c>
      <c r="R549" s="99">
        <v>22.64</v>
      </c>
      <c r="S549" t="s">
        <v>433</v>
      </c>
      <c r="T549">
        <f t="shared" si="32"/>
        <v>629278.80000000005</v>
      </c>
      <c r="U549">
        <f t="shared" si="33"/>
        <v>2955</v>
      </c>
      <c r="V549">
        <f t="shared" si="34"/>
        <v>696180</v>
      </c>
      <c r="W549">
        <f t="shared" si="35"/>
        <v>66901.199999999953</v>
      </c>
    </row>
    <row r="550" spans="1:23" x14ac:dyDescent="0.25">
      <c r="A550" s="204">
        <v>7203454549</v>
      </c>
      <c r="B550" s="204">
        <v>7203175930</v>
      </c>
      <c r="C550" s="126" t="s">
        <v>287</v>
      </c>
      <c r="D550" s="5">
        <v>6234000600</v>
      </c>
      <c r="E550" s="156">
        <v>44605</v>
      </c>
      <c r="F550" s="155">
        <v>28195</v>
      </c>
      <c r="G550" s="10" t="s">
        <v>1</v>
      </c>
      <c r="H550" s="106"/>
      <c r="I550" s="98">
        <v>0</v>
      </c>
      <c r="J550" s="99">
        <v>26.68</v>
      </c>
      <c r="K550" s="3"/>
      <c r="L550" s="3"/>
      <c r="M550" s="6"/>
      <c r="N550" s="6"/>
      <c r="O550" s="99">
        <v>30750</v>
      </c>
      <c r="P550" s="99" t="s">
        <v>286</v>
      </c>
      <c r="Q550" s="99">
        <v>26.68</v>
      </c>
      <c r="R550" s="99">
        <v>26.68</v>
      </c>
      <c r="S550" t="s">
        <v>433</v>
      </c>
      <c r="T550">
        <f t="shared" si="32"/>
        <v>752242.6</v>
      </c>
      <c r="U550">
        <f t="shared" si="33"/>
        <v>2555</v>
      </c>
      <c r="V550">
        <f t="shared" si="34"/>
        <v>820410</v>
      </c>
      <c r="W550">
        <f t="shared" si="35"/>
        <v>68167.400000000023</v>
      </c>
    </row>
    <row r="551" spans="1:23" x14ac:dyDescent="0.25">
      <c r="A551" s="204">
        <v>7203454549</v>
      </c>
      <c r="B551" s="204">
        <v>7203175930</v>
      </c>
      <c r="C551" s="126" t="s">
        <v>287</v>
      </c>
      <c r="D551" s="5">
        <v>6234000600</v>
      </c>
      <c r="E551" s="156">
        <v>44605</v>
      </c>
      <c r="F551" s="155">
        <v>28195</v>
      </c>
      <c r="G551" s="10" t="s">
        <v>1</v>
      </c>
      <c r="H551" s="106"/>
      <c r="I551" s="98">
        <v>0</v>
      </c>
      <c r="J551" s="99">
        <v>25.7</v>
      </c>
      <c r="K551" s="3"/>
      <c r="L551" s="3"/>
      <c r="M551" s="6"/>
      <c r="N551" s="6"/>
      <c r="O551" s="99">
        <v>30750</v>
      </c>
      <c r="P551" s="99" t="s">
        <v>286</v>
      </c>
      <c r="Q551" s="99">
        <v>25.7</v>
      </c>
      <c r="R551" s="99">
        <v>25.7</v>
      </c>
      <c r="S551" t="s">
        <v>433</v>
      </c>
      <c r="T551">
        <f t="shared" si="32"/>
        <v>724611.5</v>
      </c>
      <c r="U551">
        <f t="shared" si="33"/>
        <v>2555</v>
      </c>
      <c r="V551">
        <f t="shared" si="34"/>
        <v>790275</v>
      </c>
      <c r="W551">
        <f t="shared" si="35"/>
        <v>65663.5</v>
      </c>
    </row>
    <row r="552" spans="1:23" x14ac:dyDescent="0.25">
      <c r="A552" s="204">
        <v>7203454549</v>
      </c>
      <c r="B552" s="204">
        <v>7203175930</v>
      </c>
      <c r="C552" s="126" t="s">
        <v>287</v>
      </c>
      <c r="D552" s="5">
        <v>6234000600</v>
      </c>
      <c r="E552" s="156">
        <v>44605</v>
      </c>
      <c r="F552" s="155">
        <v>28195</v>
      </c>
      <c r="G552" s="10" t="s">
        <v>1</v>
      </c>
      <c r="H552" s="106"/>
      <c r="I552" s="98">
        <v>0</v>
      </c>
      <c r="J552" s="99">
        <v>23.84</v>
      </c>
      <c r="K552" s="3"/>
      <c r="L552" s="3"/>
      <c r="M552" s="6"/>
      <c r="N552" s="6"/>
      <c r="O552" s="99">
        <v>30750</v>
      </c>
      <c r="P552" s="99" t="s">
        <v>286</v>
      </c>
      <c r="Q552" s="99">
        <v>23.84</v>
      </c>
      <c r="R552" s="99">
        <v>23.84</v>
      </c>
      <c r="S552" t="s">
        <v>433</v>
      </c>
      <c r="T552">
        <f t="shared" si="32"/>
        <v>672168.8</v>
      </c>
      <c r="U552">
        <f t="shared" si="33"/>
        <v>2555</v>
      </c>
      <c r="V552">
        <f t="shared" si="34"/>
        <v>733080</v>
      </c>
      <c r="W552">
        <f t="shared" si="35"/>
        <v>60911.199999999953</v>
      </c>
    </row>
    <row r="553" spans="1:23" x14ac:dyDescent="0.25">
      <c r="A553" s="204">
        <v>7203454549</v>
      </c>
      <c r="B553" s="204">
        <v>7203175930</v>
      </c>
      <c r="C553" s="126" t="s">
        <v>287</v>
      </c>
      <c r="D553" s="5">
        <v>6234000600</v>
      </c>
      <c r="E553" s="156">
        <v>44605</v>
      </c>
      <c r="F553" s="155">
        <v>28195</v>
      </c>
      <c r="G553" s="10" t="s">
        <v>1</v>
      </c>
      <c r="H553" s="106"/>
      <c r="I553" s="98">
        <v>0</v>
      </c>
      <c r="J553" s="99">
        <v>25.3</v>
      </c>
      <c r="K553" s="3"/>
      <c r="L553" s="3"/>
      <c r="M553" s="6"/>
      <c r="N553" s="6"/>
      <c r="O553" s="99">
        <v>30750</v>
      </c>
      <c r="P553" s="99" t="s">
        <v>286</v>
      </c>
      <c r="Q553" s="99">
        <v>25.3</v>
      </c>
      <c r="R553" s="99">
        <v>25.3</v>
      </c>
      <c r="S553" t="s">
        <v>433</v>
      </c>
      <c r="T553">
        <f t="shared" si="32"/>
        <v>713333.5</v>
      </c>
      <c r="U553">
        <f t="shared" si="33"/>
        <v>2555</v>
      </c>
      <c r="V553">
        <f t="shared" si="34"/>
        <v>777975</v>
      </c>
      <c r="W553">
        <f t="shared" si="35"/>
        <v>64641.5</v>
      </c>
    </row>
    <row r="554" spans="1:23" x14ac:dyDescent="0.25">
      <c r="A554" s="204">
        <v>7203454549</v>
      </c>
      <c r="B554" s="204">
        <v>7203175930</v>
      </c>
      <c r="C554" s="126" t="s">
        <v>287</v>
      </c>
      <c r="D554" s="5">
        <v>6234000600</v>
      </c>
      <c r="E554" s="156">
        <v>44606</v>
      </c>
      <c r="F554" s="155">
        <v>28195</v>
      </c>
      <c r="G554" s="10" t="s">
        <v>1</v>
      </c>
      <c r="H554" s="106"/>
      <c r="I554" s="98">
        <v>0</v>
      </c>
      <c r="J554" s="99">
        <v>26.04</v>
      </c>
      <c r="K554" s="3"/>
      <c r="L554" s="3"/>
      <c r="M554" s="6"/>
      <c r="N554" s="6"/>
      <c r="O554" s="99">
        <v>30750</v>
      </c>
      <c r="P554" s="99" t="s">
        <v>286</v>
      </c>
      <c r="Q554" s="99">
        <v>26.04</v>
      </c>
      <c r="R554" s="99">
        <v>26.04</v>
      </c>
      <c r="S554" t="s">
        <v>433</v>
      </c>
      <c r="T554">
        <f t="shared" si="32"/>
        <v>734197.79999999993</v>
      </c>
      <c r="U554">
        <f t="shared" si="33"/>
        <v>2555</v>
      </c>
      <c r="V554">
        <f t="shared" si="34"/>
        <v>800730</v>
      </c>
      <c r="W554">
        <f t="shared" si="35"/>
        <v>66532.20000000007</v>
      </c>
    </row>
    <row r="555" spans="1:23" x14ac:dyDescent="0.25">
      <c r="A555" s="204">
        <v>7203454549</v>
      </c>
      <c r="B555" s="204">
        <v>7203175930</v>
      </c>
      <c r="C555" s="126" t="s">
        <v>287</v>
      </c>
      <c r="D555" s="5">
        <v>6234000600</v>
      </c>
      <c r="E555" s="156">
        <v>44606</v>
      </c>
      <c r="F555" s="155">
        <v>28195</v>
      </c>
      <c r="G555" s="10" t="s">
        <v>1</v>
      </c>
      <c r="H555" s="106"/>
      <c r="I555" s="98">
        <v>0</v>
      </c>
      <c r="J555" s="99">
        <v>25.98</v>
      </c>
      <c r="K555" s="3"/>
      <c r="L555" s="3"/>
      <c r="M555" s="6"/>
      <c r="N555" s="6"/>
      <c r="O555" s="99">
        <v>30750</v>
      </c>
      <c r="P555" s="99" t="s">
        <v>286</v>
      </c>
      <c r="Q555" s="99">
        <v>25.98</v>
      </c>
      <c r="R555" s="99">
        <v>25.98</v>
      </c>
      <c r="S555" t="s">
        <v>433</v>
      </c>
      <c r="T555">
        <f t="shared" si="32"/>
        <v>732506.1</v>
      </c>
      <c r="U555">
        <f t="shared" si="33"/>
        <v>2555</v>
      </c>
      <c r="V555">
        <f t="shared" si="34"/>
        <v>798885</v>
      </c>
      <c r="W555">
        <f t="shared" si="35"/>
        <v>66378.900000000023</v>
      </c>
    </row>
    <row r="556" spans="1:23" x14ac:dyDescent="0.25">
      <c r="A556" s="204">
        <v>7203454549</v>
      </c>
      <c r="B556" s="204">
        <v>7203175930</v>
      </c>
      <c r="C556" s="126" t="s">
        <v>287</v>
      </c>
      <c r="D556" s="5">
        <v>6234000600</v>
      </c>
      <c r="E556" s="156">
        <v>44606</v>
      </c>
      <c r="F556" s="155">
        <v>28195</v>
      </c>
      <c r="G556" s="10" t="s">
        <v>1</v>
      </c>
      <c r="H556" s="106"/>
      <c r="I556" s="98">
        <v>0</v>
      </c>
      <c r="J556" s="99">
        <v>26.52</v>
      </c>
      <c r="K556" s="3"/>
      <c r="L556" s="3"/>
      <c r="M556" s="6"/>
      <c r="N556" s="6"/>
      <c r="O556" s="99">
        <v>30750</v>
      </c>
      <c r="P556" s="99" t="s">
        <v>286</v>
      </c>
      <c r="Q556" s="99">
        <v>26.52</v>
      </c>
      <c r="R556" s="99">
        <v>26.52</v>
      </c>
      <c r="S556" t="s">
        <v>433</v>
      </c>
      <c r="T556">
        <f t="shared" si="32"/>
        <v>747731.4</v>
      </c>
      <c r="U556">
        <f t="shared" si="33"/>
        <v>2555</v>
      </c>
      <c r="V556">
        <f t="shared" si="34"/>
        <v>815490</v>
      </c>
      <c r="W556">
        <f t="shared" si="35"/>
        <v>67758.599999999977</v>
      </c>
    </row>
    <row r="557" spans="1:23" x14ac:dyDescent="0.25">
      <c r="A557" s="204">
        <v>7203454549</v>
      </c>
      <c r="B557" s="204">
        <v>7203175930</v>
      </c>
      <c r="C557" s="126" t="s">
        <v>287</v>
      </c>
      <c r="D557" s="5">
        <v>6234000600</v>
      </c>
      <c r="E557" s="156">
        <v>44606</v>
      </c>
      <c r="F557" s="155">
        <v>28195</v>
      </c>
      <c r="G557" s="10" t="s">
        <v>1</v>
      </c>
      <c r="H557" s="106"/>
      <c r="I557" s="98">
        <v>0</v>
      </c>
      <c r="J557" s="99">
        <v>26.64</v>
      </c>
      <c r="K557" s="3"/>
      <c r="L557" s="3"/>
      <c r="M557" s="6"/>
      <c r="N557" s="6"/>
      <c r="O557" s="99">
        <v>30750</v>
      </c>
      <c r="P557" s="99" t="s">
        <v>286</v>
      </c>
      <c r="Q557" s="99">
        <v>26.64</v>
      </c>
      <c r="R557" s="99">
        <v>26.64</v>
      </c>
      <c r="S557" t="s">
        <v>433</v>
      </c>
      <c r="T557">
        <f t="shared" si="32"/>
        <v>751114.8</v>
      </c>
      <c r="U557">
        <f t="shared" si="33"/>
        <v>2555</v>
      </c>
      <c r="V557">
        <f t="shared" si="34"/>
        <v>819180</v>
      </c>
      <c r="W557">
        <f t="shared" si="35"/>
        <v>68065.199999999953</v>
      </c>
    </row>
    <row r="558" spans="1:23" x14ac:dyDescent="0.25">
      <c r="A558" s="204">
        <v>7203454549</v>
      </c>
      <c r="B558" s="204">
        <v>7203175930</v>
      </c>
      <c r="C558" s="126" t="s">
        <v>287</v>
      </c>
      <c r="D558" s="5">
        <v>6234000600</v>
      </c>
      <c r="E558" s="156">
        <v>44607</v>
      </c>
      <c r="F558" s="155">
        <v>28795</v>
      </c>
      <c r="G558" s="10" t="s">
        <v>1</v>
      </c>
      <c r="H558" s="106"/>
      <c r="I558" s="98">
        <v>0</v>
      </c>
      <c r="J558" s="99">
        <v>24.2</v>
      </c>
      <c r="K558" s="3"/>
      <c r="L558" s="3" t="s">
        <v>313</v>
      </c>
      <c r="M558" s="6"/>
      <c r="N558" s="6"/>
      <c r="O558" s="99">
        <v>32250</v>
      </c>
      <c r="P558" s="99" t="s">
        <v>286</v>
      </c>
      <c r="Q558" s="99">
        <v>24.2</v>
      </c>
      <c r="R558" s="99">
        <v>24.2</v>
      </c>
      <c r="S558" t="s">
        <v>433</v>
      </c>
      <c r="T558">
        <f t="shared" si="32"/>
        <v>696839</v>
      </c>
      <c r="U558">
        <f t="shared" si="33"/>
        <v>3455</v>
      </c>
      <c r="V558">
        <f t="shared" si="34"/>
        <v>780450</v>
      </c>
      <c r="W558">
        <f t="shared" si="35"/>
        <v>83611</v>
      </c>
    </row>
    <row r="559" spans="1:23" x14ac:dyDescent="0.25">
      <c r="A559" s="204">
        <v>7203454549</v>
      </c>
      <c r="B559" s="204">
        <v>7203175930</v>
      </c>
      <c r="C559" s="126" t="s">
        <v>287</v>
      </c>
      <c r="D559" s="5">
        <v>6234000600</v>
      </c>
      <c r="E559" s="156">
        <v>44607</v>
      </c>
      <c r="F559" s="155">
        <v>28795</v>
      </c>
      <c r="G559" s="10" t="s">
        <v>1</v>
      </c>
      <c r="H559" s="106"/>
      <c r="I559" s="98">
        <v>0</v>
      </c>
      <c r="J559" s="99">
        <v>25.26</v>
      </c>
      <c r="K559" s="3"/>
      <c r="L559" s="3" t="s">
        <v>314</v>
      </c>
      <c r="M559" s="6"/>
      <c r="N559" s="6"/>
      <c r="O559" s="99">
        <v>32250</v>
      </c>
      <c r="P559" s="99" t="s">
        <v>286</v>
      </c>
      <c r="Q559" s="99">
        <v>25.26</v>
      </c>
      <c r="R559" s="99">
        <v>25.26</v>
      </c>
      <c r="S559" t="s">
        <v>433</v>
      </c>
      <c r="T559">
        <f t="shared" si="32"/>
        <v>727361.70000000007</v>
      </c>
      <c r="U559">
        <f t="shared" si="33"/>
        <v>3455</v>
      </c>
      <c r="V559">
        <f t="shared" si="34"/>
        <v>814635</v>
      </c>
      <c r="W559">
        <f t="shared" si="35"/>
        <v>87273.29999999993</v>
      </c>
    </row>
    <row r="560" spans="1:23" x14ac:dyDescent="0.25">
      <c r="A560" s="204">
        <v>7203454549</v>
      </c>
      <c r="B560" s="204">
        <v>7203175930</v>
      </c>
      <c r="C560" s="126" t="s">
        <v>287</v>
      </c>
      <c r="D560" s="5">
        <v>6234000600</v>
      </c>
      <c r="E560" s="156">
        <v>44607</v>
      </c>
      <c r="F560" s="155">
        <v>28795</v>
      </c>
      <c r="G560" s="10" t="s">
        <v>1</v>
      </c>
      <c r="H560" s="106"/>
      <c r="I560" s="98">
        <v>0</v>
      </c>
      <c r="J560" s="99">
        <v>24.04</v>
      </c>
      <c r="K560" s="3"/>
      <c r="L560" s="3" t="s">
        <v>315</v>
      </c>
      <c r="M560" s="6"/>
      <c r="N560" s="6"/>
      <c r="O560" s="99">
        <v>32250</v>
      </c>
      <c r="P560" s="99" t="s">
        <v>286</v>
      </c>
      <c r="Q560" s="99">
        <v>24.04</v>
      </c>
      <c r="R560" s="99">
        <v>24.04</v>
      </c>
      <c r="S560" t="s">
        <v>433</v>
      </c>
      <c r="T560">
        <f t="shared" si="32"/>
        <v>692231.79999999993</v>
      </c>
      <c r="U560">
        <f t="shared" si="33"/>
        <v>3455</v>
      </c>
      <c r="V560">
        <f t="shared" si="34"/>
        <v>775290</v>
      </c>
      <c r="W560">
        <f t="shared" si="35"/>
        <v>83058.20000000007</v>
      </c>
    </row>
    <row r="561" spans="1:23" x14ac:dyDescent="0.25">
      <c r="A561" s="204">
        <v>7203454549</v>
      </c>
      <c r="B561" s="204">
        <v>7203175930</v>
      </c>
      <c r="C561" s="126" t="s">
        <v>287</v>
      </c>
      <c r="D561" s="5">
        <v>6234000600</v>
      </c>
      <c r="E561" s="156">
        <v>44607</v>
      </c>
      <c r="F561" s="155">
        <v>28795</v>
      </c>
      <c r="G561" s="10" t="s">
        <v>1</v>
      </c>
      <c r="H561" s="106"/>
      <c r="I561" s="98">
        <v>0</v>
      </c>
      <c r="J561" s="99">
        <v>25.12</v>
      </c>
      <c r="K561" s="3"/>
      <c r="L561" s="3" t="s">
        <v>316</v>
      </c>
      <c r="M561" s="6"/>
      <c r="N561" s="6"/>
      <c r="O561" s="99">
        <v>32250</v>
      </c>
      <c r="P561" s="99" t="s">
        <v>286</v>
      </c>
      <c r="Q561" s="99">
        <v>25.12</v>
      </c>
      <c r="R561" s="99">
        <v>25.12</v>
      </c>
      <c r="S561" t="s">
        <v>433</v>
      </c>
      <c r="T561">
        <f t="shared" si="32"/>
        <v>723330.4</v>
      </c>
      <c r="U561">
        <f t="shared" si="33"/>
        <v>3455</v>
      </c>
      <c r="V561">
        <f t="shared" si="34"/>
        <v>810120</v>
      </c>
      <c r="W561">
        <f t="shared" si="35"/>
        <v>86789.599999999977</v>
      </c>
    </row>
    <row r="562" spans="1:23" x14ac:dyDescent="0.25">
      <c r="A562" s="204">
        <v>7203454549</v>
      </c>
      <c r="B562" s="204">
        <v>7203175930</v>
      </c>
      <c r="C562" s="126" t="s">
        <v>287</v>
      </c>
      <c r="D562" s="5">
        <v>6234000600</v>
      </c>
      <c r="E562" s="156">
        <v>44608</v>
      </c>
      <c r="F562" s="155">
        <v>28795</v>
      </c>
      <c r="G562" s="10" t="s">
        <v>1</v>
      </c>
      <c r="H562" s="106"/>
      <c r="I562" s="98">
        <v>0</v>
      </c>
      <c r="J562" s="99">
        <v>26.18</v>
      </c>
      <c r="K562" s="3"/>
      <c r="L562" s="3" t="s">
        <v>317</v>
      </c>
      <c r="M562" s="6"/>
      <c r="N562" s="6"/>
      <c r="O562" s="99">
        <v>32250</v>
      </c>
      <c r="P562" s="99" t="s">
        <v>286</v>
      </c>
      <c r="Q562" s="99">
        <v>26.18</v>
      </c>
      <c r="R562" s="99">
        <v>26.18</v>
      </c>
      <c r="S562" t="s">
        <v>433</v>
      </c>
      <c r="T562">
        <f t="shared" si="32"/>
        <v>753853.1</v>
      </c>
      <c r="U562">
        <f t="shared" si="33"/>
        <v>3455</v>
      </c>
      <c r="V562">
        <f t="shared" si="34"/>
        <v>844305</v>
      </c>
      <c r="W562">
        <f t="shared" si="35"/>
        <v>90451.900000000023</v>
      </c>
    </row>
    <row r="563" spans="1:23" x14ac:dyDescent="0.25">
      <c r="A563" s="204">
        <v>7203454549</v>
      </c>
      <c r="B563" s="204">
        <v>7203175930</v>
      </c>
      <c r="C563" s="126" t="s">
        <v>287</v>
      </c>
      <c r="D563" s="5">
        <v>6234000600</v>
      </c>
      <c r="E563" s="156">
        <v>44608</v>
      </c>
      <c r="F563" s="155">
        <v>28795</v>
      </c>
      <c r="G563" s="10" t="s">
        <v>1</v>
      </c>
      <c r="H563" s="106"/>
      <c r="I563" s="98">
        <v>0</v>
      </c>
      <c r="J563" s="99">
        <v>26.8</v>
      </c>
      <c r="K563" s="3"/>
      <c r="L563" s="3" t="s">
        <v>318</v>
      </c>
      <c r="M563" s="6"/>
      <c r="N563" s="6"/>
      <c r="O563" s="99">
        <v>32250</v>
      </c>
      <c r="P563" s="99" t="s">
        <v>286</v>
      </c>
      <c r="Q563" s="99">
        <v>26.8</v>
      </c>
      <c r="R563" s="99">
        <v>26.8</v>
      </c>
      <c r="S563" t="s">
        <v>433</v>
      </c>
      <c r="T563">
        <f t="shared" si="32"/>
        <v>771706</v>
      </c>
      <c r="U563">
        <f t="shared" si="33"/>
        <v>3455</v>
      </c>
      <c r="V563">
        <f t="shared" si="34"/>
        <v>864300</v>
      </c>
      <c r="W563">
        <f t="shared" si="35"/>
        <v>92594</v>
      </c>
    </row>
    <row r="564" spans="1:23" x14ac:dyDescent="0.25">
      <c r="A564" s="204">
        <v>7203454549</v>
      </c>
      <c r="B564" s="204">
        <v>7203175930</v>
      </c>
      <c r="C564" s="126" t="s">
        <v>287</v>
      </c>
      <c r="D564" s="5">
        <v>6234000600</v>
      </c>
      <c r="E564" s="156">
        <v>44608</v>
      </c>
      <c r="F564" s="155">
        <v>28795</v>
      </c>
      <c r="G564" s="10" t="s">
        <v>1</v>
      </c>
      <c r="H564" s="106"/>
      <c r="I564" s="98">
        <v>0</v>
      </c>
      <c r="J564" s="99">
        <v>25.34</v>
      </c>
      <c r="K564" s="3"/>
      <c r="L564" s="3" t="s">
        <v>319</v>
      </c>
      <c r="M564" s="6"/>
      <c r="N564" s="6"/>
      <c r="O564" s="99">
        <v>32250</v>
      </c>
      <c r="P564" s="99" t="s">
        <v>286</v>
      </c>
      <c r="Q564" s="99">
        <v>25.34</v>
      </c>
      <c r="R564" s="99">
        <v>25.34</v>
      </c>
      <c r="S564" t="s">
        <v>433</v>
      </c>
      <c r="T564">
        <f t="shared" si="32"/>
        <v>729665.3</v>
      </c>
      <c r="U564">
        <f t="shared" si="33"/>
        <v>3455</v>
      </c>
      <c r="V564">
        <f t="shared" si="34"/>
        <v>817215</v>
      </c>
      <c r="W564">
        <f t="shared" si="35"/>
        <v>87549.699999999953</v>
      </c>
    </row>
    <row r="565" spans="1:23" x14ac:dyDescent="0.25">
      <c r="A565" s="204">
        <v>7203454549</v>
      </c>
      <c r="B565" s="204">
        <v>7203175930</v>
      </c>
      <c r="C565" s="126" t="s">
        <v>287</v>
      </c>
      <c r="D565" s="5">
        <v>6234000600</v>
      </c>
      <c r="E565" s="156">
        <v>44608</v>
      </c>
      <c r="F565" s="155">
        <v>28795</v>
      </c>
      <c r="G565" s="10" t="s">
        <v>1</v>
      </c>
      <c r="H565" s="106"/>
      <c r="I565" s="98">
        <v>0</v>
      </c>
      <c r="J565" s="99">
        <v>27.02</v>
      </c>
      <c r="K565" s="3"/>
      <c r="L565" s="3" t="s">
        <v>320</v>
      </c>
      <c r="M565" s="6"/>
      <c r="N565" s="6"/>
      <c r="O565" s="99">
        <v>32250</v>
      </c>
      <c r="P565" s="99" t="s">
        <v>286</v>
      </c>
      <c r="Q565" s="99">
        <v>27.02</v>
      </c>
      <c r="R565" s="99">
        <v>27.02</v>
      </c>
      <c r="S565" t="s">
        <v>433</v>
      </c>
      <c r="T565">
        <f t="shared" si="32"/>
        <v>778040.9</v>
      </c>
      <c r="U565">
        <f t="shared" si="33"/>
        <v>3455</v>
      </c>
      <c r="V565">
        <f t="shared" si="34"/>
        <v>871395</v>
      </c>
      <c r="W565">
        <f t="shared" si="35"/>
        <v>93354.099999999977</v>
      </c>
    </row>
    <row r="566" spans="1:23" x14ac:dyDescent="0.25">
      <c r="A566" s="204">
        <v>7203454549</v>
      </c>
      <c r="B566" s="204">
        <v>7203175930</v>
      </c>
      <c r="C566" s="126" t="s">
        <v>287</v>
      </c>
      <c r="D566" s="5">
        <v>6234000600</v>
      </c>
      <c r="E566" s="156">
        <v>44608</v>
      </c>
      <c r="F566" s="155">
        <v>28795</v>
      </c>
      <c r="G566" s="10" t="s">
        <v>1</v>
      </c>
      <c r="H566" s="106"/>
      <c r="I566" s="98">
        <v>0</v>
      </c>
      <c r="J566" s="99">
        <v>24.04</v>
      </c>
      <c r="K566" s="3"/>
      <c r="L566" s="3" t="s">
        <v>304</v>
      </c>
      <c r="M566" s="6"/>
      <c r="N566" s="6"/>
      <c r="O566" s="99">
        <v>32250</v>
      </c>
      <c r="P566" s="99" t="s">
        <v>286</v>
      </c>
      <c r="Q566" s="99">
        <v>24.04</v>
      </c>
      <c r="R566" s="99">
        <v>24.04</v>
      </c>
      <c r="S566" t="s">
        <v>433</v>
      </c>
      <c r="T566">
        <f t="shared" si="32"/>
        <v>692231.79999999993</v>
      </c>
      <c r="U566">
        <f t="shared" si="33"/>
        <v>3455</v>
      </c>
      <c r="V566">
        <f t="shared" si="34"/>
        <v>775290</v>
      </c>
      <c r="W566">
        <f t="shared" si="35"/>
        <v>83058.20000000007</v>
      </c>
    </row>
    <row r="567" spans="1:23" x14ac:dyDescent="0.25">
      <c r="A567" s="204">
        <v>7203454549</v>
      </c>
      <c r="B567" s="204">
        <v>7203175930</v>
      </c>
      <c r="C567" s="126" t="s">
        <v>287</v>
      </c>
      <c r="D567" s="5">
        <v>6234000600</v>
      </c>
      <c r="E567" s="156">
        <v>44608</v>
      </c>
      <c r="F567" s="155">
        <v>28795</v>
      </c>
      <c r="G567" s="10" t="s">
        <v>1</v>
      </c>
      <c r="H567" s="106"/>
      <c r="I567" s="98">
        <v>0</v>
      </c>
      <c r="J567" s="99">
        <v>22.94</v>
      </c>
      <c r="K567" s="3"/>
      <c r="L567" s="3" t="s">
        <v>303</v>
      </c>
      <c r="M567" s="6"/>
      <c r="N567" s="6"/>
      <c r="O567" s="99">
        <v>32250</v>
      </c>
      <c r="P567" s="99" t="s">
        <v>286</v>
      </c>
      <c r="Q567" s="99">
        <v>22.94</v>
      </c>
      <c r="R567" s="99">
        <v>22.94</v>
      </c>
      <c r="S567" t="s">
        <v>433</v>
      </c>
      <c r="T567">
        <f t="shared" si="32"/>
        <v>660557.30000000005</v>
      </c>
      <c r="U567">
        <f t="shared" si="33"/>
        <v>3455</v>
      </c>
      <c r="V567">
        <f t="shared" si="34"/>
        <v>739815</v>
      </c>
      <c r="W567">
        <f t="shared" si="35"/>
        <v>79257.699999999953</v>
      </c>
    </row>
    <row r="568" spans="1:23" x14ac:dyDescent="0.25">
      <c r="A568" s="204">
        <v>7203454549</v>
      </c>
      <c r="B568" s="204">
        <v>7203175930</v>
      </c>
      <c r="C568" s="126" t="s">
        <v>287</v>
      </c>
      <c r="D568" s="5">
        <v>6234000600</v>
      </c>
      <c r="E568" s="156">
        <v>44609</v>
      </c>
      <c r="F568" s="155">
        <v>28795</v>
      </c>
      <c r="G568" s="10" t="s">
        <v>1</v>
      </c>
      <c r="H568" s="107"/>
      <c r="I568" s="98">
        <v>0</v>
      </c>
      <c r="J568" s="99">
        <v>25.24</v>
      </c>
      <c r="K568" s="3"/>
      <c r="L568" s="3"/>
      <c r="M568" s="6"/>
      <c r="N568" s="6"/>
      <c r="O568" s="99">
        <v>32250</v>
      </c>
      <c r="P568" s="99" t="s">
        <v>286</v>
      </c>
      <c r="Q568" s="99">
        <v>25.24</v>
      </c>
      <c r="R568" s="99">
        <v>25.24</v>
      </c>
      <c r="S568" t="s">
        <v>433</v>
      </c>
      <c r="T568">
        <f t="shared" si="32"/>
        <v>726785.79999999993</v>
      </c>
      <c r="U568">
        <f t="shared" si="33"/>
        <v>3455</v>
      </c>
      <c r="V568">
        <f t="shared" si="34"/>
        <v>813990</v>
      </c>
      <c r="W568">
        <f t="shared" si="35"/>
        <v>87204.20000000007</v>
      </c>
    </row>
    <row r="569" spans="1:23" x14ac:dyDescent="0.25">
      <c r="A569" s="204">
        <v>7203454549</v>
      </c>
      <c r="B569" s="204">
        <v>7203175930</v>
      </c>
      <c r="C569" s="126" t="s">
        <v>287</v>
      </c>
      <c r="D569" s="5">
        <v>6234000600</v>
      </c>
      <c r="E569" s="156">
        <v>44609</v>
      </c>
      <c r="F569" s="155">
        <v>28795</v>
      </c>
      <c r="G569" s="10" t="s">
        <v>1</v>
      </c>
      <c r="H569" s="107"/>
      <c r="I569" s="98">
        <v>0</v>
      </c>
      <c r="J569" s="99">
        <v>25.42</v>
      </c>
      <c r="K569" s="3"/>
      <c r="L569" s="3"/>
      <c r="M569" s="6"/>
      <c r="N569" s="6"/>
      <c r="O569" s="99">
        <v>32250</v>
      </c>
      <c r="P569" s="99" t="s">
        <v>286</v>
      </c>
      <c r="Q569" s="99">
        <v>25.42</v>
      </c>
      <c r="R569" s="99">
        <v>25.42</v>
      </c>
      <c r="S569" t="s">
        <v>433</v>
      </c>
      <c r="T569">
        <f t="shared" si="32"/>
        <v>731968.9</v>
      </c>
      <c r="U569">
        <f t="shared" si="33"/>
        <v>3455</v>
      </c>
      <c r="V569">
        <f t="shared" si="34"/>
        <v>819795</v>
      </c>
      <c r="W569">
        <f t="shared" si="35"/>
        <v>87826.099999999977</v>
      </c>
    </row>
    <row r="570" spans="1:23" x14ac:dyDescent="0.25">
      <c r="A570" s="204">
        <v>7203454549</v>
      </c>
      <c r="B570" s="204">
        <v>7203175930</v>
      </c>
      <c r="C570" s="126" t="s">
        <v>287</v>
      </c>
      <c r="D570" s="5">
        <v>6234000600</v>
      </c>
      <c r="E570" s="156">
        <v>44609</v>
      </c>
      <c r="F570" s="155">
        <v>28795</v>
      </c>
      <c r="G570" s="10" t="s">
        <v>1</v>
      </c>
      <c r="H570" s="107"/>
      <c r="I570" s="98">
        <v>0</v>
      </c>
      <c r="J570" s="99">
        <v>24.02</v>
      </c>
      <c r="K570" s="3"/>
      <c r="L570" s="3"/>
      <c r="M570" s="6"/>
      <c r="N570" s="6"/>
      <c r="O570" s="99">
        <v>32250</v>
      </c>
      <c r="P570" s="99" t="s">
        <v>286</v>
      </c>
      <c r="Q570" s="99">
        <v>24.02</v>
      </c>
      <c r="R570" s="99">
        <v>24.02</v>
      </c>
      <c r="S570" t="s">
        <v>433</v>
      </c>
      <c r="T570">
        <f t="shared" si="32"/>
        <v>691655.9</v>
      </c>
      <c r="U570">
        <f t="shared" si="33"/>
        <v>3455</v>
      </c>
      <c r="V570">
        <f t="shared" si="34"/>
        <v>774645</v>
      </c>
      <c r="W570">
        <f t="shared" si="35"/>
        <v>82989.099999999977</v>
      </c>
    </row>
    <row r="571" spans="1:23" x14ac:dyDescent="0.25">
      <c r="A571" s="204">
        <v>7203454549</v>
      </c>
      <c r="B571" s="204">
        <v>7203175930</v>
      </c>
      <c r="C571" s="126" t="s">
        <v>287</v>
      </c>
      <c r="D571" s="5">
        <v>6234000600</v>
      </c>
      <c r="E571" s="156">
        <v>44609</v>
      </c>
      <c r="F571" s="155">
        <v>28795</v>
      </c>
      <c r="G571" s="10" t="s">
        <v>1</v>
      </c>
      <c r="H571" s="107"/>
      <c r="I571" s="98">
        <v>0</v>
      </c>
      <c r="J571" s="99">
        <v>26.06</v>
      </c>
      <c r="K571" s="3"/>
      <c r="L571" s="3"/>
      <c r="M571" s="6"/>
      <c r="N571" s="6"/>
      <c r="O571" s="99">
        <v>32250</v>
      </c>
      <c r="P571" s="99" t="s">
        <v>286</v>
      </c>
      <c r="Q571" s="99">
        <v>26.06</v>
      </c>
      <c r="R571" s="99">
        <v>26.06</v>
      </c>
      <c r="S571" t="s">
        <v>433</v>
      </c>
      <c r="T571">
        <f t="shared" si="32"/>
        <v>750397.7</v>
      </c>
      <c r="U571">
        <f t="shared" si="33"/>
        <v>3455</v>
      </c>
      <c r="V571">
        <f t="shared" si="34"/>
        <v>840435</v>
      </c>
      <c r="W571">
        <f t="shared" si="35"/>
        <v>90037.300000000047</v>
      </c>
    </row>
    <row r="572" spans="1:23" x14ac:dyDescent="0.25">
      <c r="A572" s="204">
        <v>7203454549</v>
      </c>
      <c r="B572" s="204">
        <v>7203175930</v>
      </c>
      <c r="C572" s="126" t="s">
        <v>287</v>
      </c>
      <c r="D572" s="5">
        <v>6234000600</v>
      </c>
      <c r="E572" s="156">
        <v>44612</v>
      </c>
      <c r="F572" s="155">
        <v>28795</v>
      </c>
      <c r="G572" s="10" t="s">
        <v>1</v>
      </c>
      <c r="H572" s="107"/>
      <c r="I572" s="98">
        <v>0</v>
      </c>
      <c r="J572" s="99">
        <v>23.94</v>
      </c>
      <c r="K572" s="3"/>
      <c r="L572" s="3"/>
      <c r="M572" s="6"/>
      <c r="N572" s="6"/>
      <c r="O572" s="99">
        <v>32250</v>
      </c>
      <c r="P572" s="99" t="s">
        <v>286</v>
      </c>
      <c r="Q572" s="99">
        <v>23.94</v>
      </c>
      <c r="R572" s="99">
        <v>23.94</v>
      </c>
      <c r="S572" t="s">
        <v>433</v>
      </c>
      <c r="T572">
        <f t="shared" si="32"/>
        <v>689352.3</v>
      </c>
      <c r="U572">
        <f t="shared" si="33"/>
        <v>3455</v>
      </c>
      <c r="V572">
        <f t="shared" si="34"/>
        <v>772065</v>
      </c>
      <c r="W572">
        <f t="shared" si="35"/>
        <v>82712.699999999953</v>
      </c>
    </row>
    <row r="573" spans="1:23" x14ac:dyDescent="0.25">
      <c r="A573" s="204">
        <v>7203454549</v>
      </c>
      <c r="B573" s="204">
        <v>7203175930</v>
      </c>
      <c r="C573" s="126" t="s">
        <v>287</v>
      </c>
      <c r="D573" s="5">
        <v>6234000600</v>
      </c>
      <c r="E573" s="156">
        <v>44612</v>
      </c>
      <c r="F573" s="155">
        <v>28795</v>
      </c>
      <c r="G573" s="10" t="s">
        <v>1</v>
      </c>
      <c r="H573" s="107"/>
      <c r="I573" s="98">
        <v>0</v>
      </c>
      <c r="J573" s="99">
        <v>24.36</v>
      </c>
      <c r="K573" s="3"/>
      <c r="L573" s="3"/>
      <c r="M573" s="6"/>
      <c r="N573" s="6"/>
      <c r="O573" s="99">
        <v>32250</v>
      </c>
      <c r="P573" s="99" t="s">
        <v>286</v>
      </c>
      <c r="Q573" s="99">
        <v>24.36</v>
      </c>
      <c r="R573" s="99">
        <v>24.36</v>
      </c>
      <c r="S573" t="s">
        <v>433</v>
      </c>
      <c r="T573">
        <f t="shared" si="32"/>
        <v>701446.2</v>
      </c>
      <c r="U573">
        <f t="shared" si="33"/>
        <v>3455</v>
      </c>
      <c r="V573">
        <f t="shared" si="34"/>
        <v>785610</v>
      </c>
      <c r="W573">
        <f t="shared" si="35"/>
        <v>84163.800000000047</v>
      </c>
    </row>
    <row r="574" spans="1:23" x14ac:dyDescent="0.25">
      <c r="A574" s="204">
        <v>7203454549</v>
      </c>
      <c r="B574" s="204">
        <v>7203175930</v>
      </c>
      <c r="C574" s="126" t="s">
        <v>287</v>
      </c>
      <c r="D574" s="5">
        <v>6234000600</v>
      </c>
      <c r="E574" s="156">
        <v>44612</v>
      </c>
      <c r="F574" s="155">
        <v>28795</v>
      </c>
      <c r="G574" s="10" t="s">
        <v>1</v>
      </c>
      <c r="H574" s="107"/>
      <c r="I574" s="98">
        <v>0</v>
      </c>
      <c r="J574" s="99">
        <v>25.34</v>
      </c>
      <c r="K574" s="3"/>
      <c r="L574" s="3"/>
      <c r="M574" s="6"/>
      <c r="N574" s="6"/>
      <c r="O574" s="99">
        <v>32250</v>
      </c>
      <c r="P574" s="99" t="s">
        <v>286</v>
      </c>
      <c r="Q574" s="99">
        <v>25.34</v>
      </c>
      <c r="R574" s="99">
        <v>25.34</v>
      </c>
      <c r="S574" t="s">
        <v>433</v>
      </c>
      <c r="T574">
        <f t="shared" si="32"/>
        <v>729665.3</v>
      </c>
      <c r="U574">
        <f t="shared" si="33"/>
        <v>3455</v>
      </c>
      <c r="V574">
        <f t="shared" si="34"/>
        <v>817215</v>
      </c>
      <c r="W574">
        <f t="shared" si="35"/>
        <v>87549.699999999953</v>
      </c>
    </row>
    <row r="575" spans="1:23" x14ac:dyDescent="0.25">
      <c r="A575" s="204">
        <v>7203454549</v>
      </c>
      <c r="B575" s="204">
        <v>7203175930</v>
      </c>
      <c r="C575" s="126" t="s">
        <v>287</v>
      </c>
      <c r="D575" s="5">
        <v>6234000600</v>
      </c>
      <c r="E575" s="156">
        <v>44612</v>
      </c>
      <c r="F575" s="155">
        <v>28795</v>
      </c>
      <c r="G575" s="10" t="s">
        <v>1</v>
      </c>
      <c r="H575" s="107"/>
      <c r="I575" s="98">
        <v>0</v>
      </c>
      <c r="J575" s="99">
        <v>25.58</v>
      </c>
      <c r="K575" s="3"/>
      <c r="L575" s="3"/>
      <c r="M575" s="6"/>
      <c r="N575" s="6"/>
      <c r="O575" s="99">
        <v>32250</v>
      </c>
      <c r="P575" s="99" t="s">
        <v>286</v>
      </c>
      <c r="Q575" s="99">
        <v>25.58</v>
      </c>
      <c r="R575" s="99">
        <v>25.58</v>
      </c>
      <c r="S575" t="s">
        <v>433</v>
      </c>
      <c r="T575">
        <f t="shared" si="32"/>
        <v>736576.1</v>
      </c>
      <c r="U575">
        <f t="shared" si="33"/>
        <v>3455</v>
      </c>
      <c r="V575">
        <f t="shared" si="34"/>
        <v>824955</v>
      </c>
      <c r="W575">
        <f t="shared" si="35"/>
        <v>88378.900000000023</v>
      </c>
    </row>
    <row r="576" spans="1:23" x14ac:dyDescent="0.25">
      <c r="A576" s="204">
        <v>7203454549</v>
      </c>
      <c r="B576" s="204">
        <v>7203175930</v>
      </c>
      <c r="C576" s="126" t="s">
        <v>287</v>
      </c>
      <c r="D576" s="5">
        <v>6234000600</v>
      </c>
      <c r="E576" s="156">
        <v>44612</v>
      </c>
      <c r="F576" s="155">
        <v>28795</v>
      </c>
      <c r="G576" s="10" t="s">
        <v>1</v>
      </c>
      <c r="H576" s="107"/>
      <c r="I576" s="98">
        <v>0</v>
      </c>
      <c r="J576" s="99">
        <v>25.44</v>
      </c>
      <c r="K576" s="3"/>
      <c r="L576" s="3"/>
      <c r="M576" s="6"/>
      <c r="N576" s="6"/>
      <c r="O576" s="99">
        <v>32250</v>
      </c>
      <c r="P576" s="99" t="s">
        <v>286</v>
      </c>
      <c r="Q576" s="99">
        <v>25.44</v>
      </c>
      <c r="R576" s="99">
        <v>25.44</v>
      </c>
      <c r="S576" t="s">
        <v>433</v>
      </c>
      <c r="T576">
        <f t="shared" si="32"/>
        <v>732544.8</v>
      </c>
      <c r="U576">
        <f t="shared" si="33"/>
        <v>3455</v>
      </c>
      <c r="V576">
        <f t="shared" si="34"/>
        <v>820440</v>
      </c>
      <c r="W576">
        <f t="shared" si="35"/>
        <v>87895.199999999953</v>
      </c>
    </row>
    <row r="577" spans="1:23" x14ac:dyDescent="0.25">
      <c r="A577" s="204">
        <v>7203454549</v>
      </c>
      <c r="B577" s="204">
        <v>7203175930</v>
      </c>
      <c r="C577" s="126" t="s">
        <v>287</v>
      </c>
      <c r="D577" s="5">
        <v>6234000600</v>
      </c>
      <c r="E577" s="156">
        <v>44612</v>
      </c>
      <c r="F577" s="155">
        <v>28795</v>
      </c>
      <c r="G577" s="10" t="s">
        <v>1</v>
      </c>
      <c r="H577" s="107"/>
      <c r="I577" s="98">
        <v>0</v>
      </c>
      <c r="J577" s="99">
        <v>26.5</v>
      </c>
      <c r="K577" s="3"/>
      <c r="L577" s="3"/>
      <c r="M577" s="6"/>
      <c r="N577" s="6"/>
      <c r="O577" s="99">
        <v>32250</v>
      </c>
      <c r="P577" s="99" t="s">
        <v>286</v>
      </c>
      <c r="Q577" s="99">
        <v>26.5</v>
      </c>
      <c r="R577" s="99">
        <v>26.5</v>
      </c>
      <c r="S577" t="s">
        <v>433</v>
      </c>
      <c r="T577">
        <f t="shared" si="32"/>
        <v>763067.5</v>
      </c>
      <c r="U577">
        <f t="shared" si="33"/>
        <v>3455</v>
      </c>
      <c r="V577">
        <f t="shared" si="34"/>
        <v>854625</v>
      </c>
      <c r="W577">
        <f t="shared" si="35"/>
        <v>91557.5</v>
      </c>
    </row>
    <row r="578" spans="1:23" x14ac:dyDescent="0.25">
      <c r="A578" s="204">
        <v>7203454549</v>
      </c>
      <c r="B578" s="204">
        <v>7203175930</v>
      </c>
      <c r="C578" s="126" t="s">
        <v>287</v>
      </c>
      <c r="D578" s="5">
        <v>6234000600</v>
      </c>
      <c r="E578" s="156">
        <v>44612</v>
      </c>
      <c r="F578" s="155">
        <v>28795</v>
      </c>
      <c r="G578" s="10" t="s">
        <v>1</v>
      </c>
      <c r="H578" s="107"/>
      <c r="I578" s="98">
        <v>0</v>
      </c>
      <c r="J578" s="99">
        <v>26.78</v>
      </c>
      <c r="K578" s="3"/>
      <c r="L578" s="3"/>
      <c r="M578" s="6"/>
      <c r="N578" s="6"/>
      <c r="O578" s="99">
        <v>32250</v>
      </c>
      <c r="P578" s="99" t="s">
        <v>286</v>
      </c>
      <c r="Q578" s="99">
        <v>26.78</v>
      </c>
      <c r="R578" s="99">
        <v>26.78</v>
      </c>
      <c r="S578" t="s">
        <v>433</v>
      </c>
      <c r="T578">
        <f t="shared" si="32"/>
        <v>771130.1</v>
      </c>
      <c r="U578">
        <f t="shared" si="33"/>
        <v>3455</v>
      </c>
      <c r="V578">
        <f t="shared" si="34"/>
        <v>863655</v>
      </c>
      <c r="W578">
        <f t="shared" si="35"/>
        <v>92524.900000000023</v>
      </c>
    </row>
    <row r="579" spans="1:23" x14ac:dyDescent="0.25">
      <c r="A579" s="204">
        <v>7203454549</v>
      </c>
      <c r="B579" s="204">
        <v>7203175930</v>
      </c>
      <c r="C579" s="126" t="s">
        <v>287</v>
      </c>
      <c r="D579" s="5">
        <v>6234000600</v>
      </c>
      <c r="E579" s="156">
        <v>44613</v>
      </c>
      <c r="F579" s="155">
        <v>28795</v>
      </c>
      <c r="G579" s="10" t="s">
        <v>1</v>
      </c>
      <c r="H579" s="107"/>
      <c r="I579" s="98">
        <v>0</v>
      </c>
      <c r="J579" s="99">
        <v>25.8</v>
      </c>
      <c r="K579" s="3"/>
      <c r="L579" s="3"/>
      <c r="M579" s="6"/>
      <c r="N579" s="6"/>
      <c r="O579" s="99">
        <v>32250</v>
      </c>
      <c r="P579" s="99" t="s">
        <v>286</v>
      </c>
      <c r="Q579" s="99">
        <v>25.8</v>
      </c>
      <c r="R579" s="99">
        <v>25.8</v>
      </c>
      <c r="S579" t="s">
        <v>433</v>
      </c>
      <c r="T579">
        <f t="shared" ref="T579:T642" si="36">(I579+F579)*J579</f>
        <v>742911</v>
      </c>
      <c r="U579">
        <f t="shared" ref="U579:U642" si="37">O579-(F579+I579)</f>
        <v>3455</v>
      </c>
      <c r="V579">
        <f t="shared" ref="V579:V642" si="38">O579*J579</f>
        <v>832050</v>
      </c>
      <c r="W579">
        <f t="shared" ref="W579:W642" si="39">V579-T579</f>
        <v>89139</v>
      </c>
    </row>
    <row r="580" spans="1:23" x14ac:dyDescent="0.25">
      <c r="A580" s="204">
        <v>7203454549</v>
      </c>
      <c r="B580" s="204">
        <v>7203175930</v>
      </c>
      <c r="C580" s="126" t="s">
        <v>287</v>
      </c>
      <c r="D580" s="5">
        <v>6234000600</v>
      </c>
      <c r="E580" s="156">
        <v>44613</v>
      </c>
      <c r="F580" s="155">
        <v>28795</v>
      </c>
      <c r="G580" s="10" t="s">
        <v>1</v>
      </c>
      <c r="H580" s="107"/>
      <c r="I580" s="98">
        <v>0</v>
      </c>
      <c r="J580" s="99">
        <v>25.26</v>
      </c>
      <c r="K580" s="3"/>
      <c r="L580" s="3"/>
      <c r="M580" s="6"/>
      <c r="N580" s="6"/>
      <c r="O580" s="99">
        <v>32250</v>
      </c>
      <c r="P580" s="99" t="s">
        <v>286</v>
      </c>
      <c r="Q580" s="99">
        <v>25.26</v>
      </c>
      <c r="R580" s="99">
        <v>25.26</v>
      </c>
      <c r="S580" t="s">
        <v>433</v>
      </c>
      <c r="T580">
        <f t="shared" si="36"/>
        <v>727361.70000000007</v>
      </c>
      <c r="U580">
        <f t="shared" si="37"/>
        <v>3455</v>
      </c>
      <c r="V580">
        <f t="shared" si="38"/>
        <v>814635</v>
      </c>
      <c r="W580">
        <f t="shared" si="39"/>
        <v>87273.29999999993</v>
      </c>
    </row>
    <row r="581" spans="1:23" x14ac:dyDescent="0.25">
      <c r="A581" s="204">
        <v>7203454549</v>
      </c>
      <c r="B581" s="204">
        <v>7203175930</v>
      </c>
      <c r="C581" s="126" t="s">
        <v>287</v>
      </c>
      <c r="D581" s="5">
        <v>6234000600</v>
      </c>
      <c r="E581" s="156">
        <v>44613</v>
      </c>
      <c r="F581" s="155">
        <v>28795</v>
      </c>
      <c r="G581" s="10" t="s">
        <v>1</v>
      </c>
      <c r="H581" s="107"/>
      <c r="I581" s="98">
        <v>0</v>
      </c>
      <c r="J581" s="99">
        <v>26.46</v>
      </c>
      <c r="K581" s="3"/>
      <c r="L581" s="3"/>
      <c r="M581" s="6"/>
      <c r="N581" s="6"/>
      <c r="O581" s="99">
        <v>32250</v>
      </c>
      <c r="P581" s="99" t="s">
        <v>286</v>
      </c>
      <c r="Q581" s="99">
        <v>26.46</v>
      </c>
      <c r="R581" s="99">
        <v>26.46</v>
      </c>
      <c r="S581" t="s">
        <v>433</v>
      </c>
      <c r="T581">
        <f t="shared" si="36"/>
        <v>761915.70000000007</v>
      </c>
      <c r="U581">
        <f t="shared" si="37"/>
        <v>3455</v>
      </c>
      <c r="V581">
        <f t="shared" si="38"/>
        <v>853335</v>
      </c>
      <c r="W581">
        <f t="shared" si="39"/>
        <v>91419.29999999993</v>
      </c>
    </row>
    <row r="582" spans="1:23" x14ac:dyDescent="0.25">
      <c r="A582" s="204">
        <v>7203454549</v>
      </c>
      <c r="B582" s="204">
        <v>7203175930</v>
      </c>
      <c r="C582" s="126" t="s">
        <v>287</v>
      </c>
      <c r="D582" s="5">
        <v>6234000600</v>
      </c>
      <c r="E582" s="156">
        <v>44613</v>
      </c>
      <c r="F582" s="155">
        <v>28795</v>
      </c>
      <c r="G582" s="10" t="s">
        <v>1</v>
      </c>
      <c r="H582" s="107"/>
      <c r="I582" s="98">
        <v>0</v>
      </c>
      <c r="J582" s="99">
        <v>26.72</v>
      </c>
      <c r="K582" s="3"/>
      <c r="L582" s="3"/>
      <c r="M582" s="6"/>
      <c r="N582" s="6"/>
      <c r="O582" s="99">
        <v>32250</v>
      </c>
      <c r="P582" s="99" t="s">
        <v>286</v>
      </c>
      <c r="Q582" s="99">
        <v>26.72</v>
      </c>
      <c r="R582" s="99">
        <v>26.72</v>
      </c>
      <c r="S582" t="s">
        <v>433</v>
      </c>
      <c r="T582">
        <f t="shared" si="36"/>
        <v>769402.4</v>
      </c>
      <c r="U582">
        <f t="shared" si="37"/>
        <v>3455</v>
      </c>
      <c r="V582">
        <f t="shared" si="38"/>
        <v>861720</v>
      </c>
      <c r="W582">
        <f t="shared" si="39"/>
        <v>92317.599999999977</v>
      </c>
    </row>
    <row r="583" spans="1:23" x14ac:dyDescent="0.25">
      <c r="A583" s="204">
        <v>7203454549</v>
      </c>
      <c r="B583" s="204">
        <v>7203175930</v>
      </c>
      <c r="C583" s="126" t="s">
        <v>287</v>
      </c>
      <c r="D583" s="5">
        <v>6234000600</v>
      </c>
      <c r="E583" s="156">
        <v>44613</v>
      </c>
      <c r="F583" s="155">
        <v>28795</v>
      </c>
      <c r="G583" s="10" t="s">
        <v>1</v>
      </c>
      <c r="H583" s="107"/>
      <c r="I583" s="98">
        <v>0</v>
      </c>
      <c r="J583" s="99">
        <v>26.6</v>
      </c>
      <c r="K583" s="3"/>
      <c r="L583" s="3"/>
      <c r="M583" s="6"/>
      <c r="N583" s="6"/>
      <c r="O583" s="99">
        <v>32250</v>
      </c>
      <c r="P583" s="99" t="s">
        <v>286</v>
      </c>
      <c r="Q583" s="99">
        <v>26.6</v>
      </c>
      <c r="R583" s="99">
        <v>26.6</v>
      </c>
      <c r="S583" t="s">
        <v>433</v>
      </c>
      <c r="T583">
        <f t="shared" si="36"/>
        <v>765947</v>
      </c>
      <c r="U583">
        <f t="shared" si="37"/>
        <v>3455</v>
      </c>
      <c r="V583">
        <f t="shared" si="38"/>
        <v>857850</v>
      </c>
      <c r="W583">
        <f t="shared" si="39"/>
        <v>91903</v>
      </c>
    </row>
    <row r="584" spans="1:23" x14ac:dyDescent="0.25">
      <c r="A584" s="204">
        <v>7203454549</v>
      </c>
      <c r="B584" s="204">
        <v>7203175930</v>
      </c>
      <c r="C584" s="126" t="s">
        <v>287</v>
      </c>
      <c r="D584" s="5">
        <v>6234000600</v>
      </c>
      <c r="E584" s="156">
        <v>44614</v>
      </c>
      <c r="F584" s="155">
        <v>28795</v>
      </c>
      <c r="G584" s="10" t="s">
        <v>1</v>
      </c>
      <c r="H584" s="107"/>
      <c r="I584" s="98">
        <v>0</v>
      </c>
      <c r="J584" s="99">
        <v>26.08</v>
      </c>
      <c r="K584" s="3"/>
      <c r="L584" s="3" t="s">
        <v>309</v>
      </c>
      <c r="M584" s="6"/>
      <c r="N584" s="6"/>
      <c r="O584" s="99">
        <v>32250</v>
      </c>
      <c r="P584" s="99" t="s">
        <v>286</v>
      </c>
      <c r="Q584" s="99">
        <v>26.08</v>
      </c>
      <c r="R584" s="99">
        <v>26.08</v>
      </c>
      <c r="S584" t="s">
        <v>433</v>
      </c>
      <c r="T584">
        <f t="shared" si="36"/>
        <v>750973.6</v>
      </c>
      <c r="U584">
        <f t="shared" si="37"/>
        <v>3455</v>
      </c>
      <c r="V584">
        <f t="shared" si="38"/>
        <v>841080</v>
      </c>
      <c r="W584">
        <f t="shared" si="39"/>
        <v>90106.400000000023</v>
      </c>
    </row>
    <row r="585" spans="1:23" x14ac:dyDescent="0.25">
      <c r="A585" s="204">
        <v>7203454549</v>
      </c>
      <c r="B585" s="204">
        <v>7203175930</v>
      </c>
      <c r="C585" s="126" t="s">
        <v>287</v>
      </c>
      <c r="D585" s="5">
        <v>6234000600</v>
      </c>
      <c r="E585" s="156">
        <v>44614</v>
      </c>
      <c r="F585" s="155">
        <v>28795</v>
      </c>
      <c r="G585" s="10" t="s">
        <v>1</v>
      </c>
      <c r="H585" s="107"/>
      <c r="I585" s="98">
        <v>0</v>
      </c>
      <c r="J585" s="99">
        <v>25.76</v>
      </c>
      <c r="K585" s="3"/>
      <c r="L585" s="3" t="s">
        <v>321</v>
      </c>
      <c r="M585" s="6"/>
      <c r="N585" s="6"/>
      <c r="O585" s="99">
        <v>32250</v>
      </c>
      <c r="P585" s="99" t="s">
        <v>286</v>
      </c>
      <c r="Q585" s="99">
        <v>25.76</v>
      </c>
      <c r="R585" s="99">
        <v>25.76</v>
      </c>
      <c r="S585" t="s">
        <v>433</v>
      </c>
      <c r="T585">
        <f t="shared" si="36"/>
        <v>741759.20000000007</v>
      </c>
      <c r="U585">
        <f t="shared" si="37"/>
        <v>3455</v>
      </c>
      <c r="V585">
        <f t="shared" si="38"/>
        <v>830760</v>
      </c>
      <c r="W585">
        <f t="shared" si="39"/>
        <v>89000.79999999993</v>
      </c>
    </row>
    <row r="586" spans="1:23" x14ac:dyDescent="0.25">
      <c r="A586" s="204">
        <v>7203454549</v>
      </c>
      <c r="B586" s="204">
        <v>7203175930</v>
      </c>
      <c r="C586" s="126" t="s">
        <v>287</v>
      </c>
      <c r="D586" s="5">
        <v>6234000600</v>
      </c>
      <c r="E586" s="156">
        <v>44614</v>
      </c>
      <c r="F586" s="155">
        <v>28795</v>
      </c>
      <c r="G586" s="10" t="s">
        <v>1</v>
      </c>
      <c r="H586" s="107"/>
      <c r="I586" s="98">
        <v>0</v>
      </c>
      <c r="J586" s="99">
        <v>26.76</v>
      </c>
      <c r="K586" s="3"/>
      <c r="L586" s="3" t="s">
        <v>308</v>
      </c>
      <c r="M586" s="6"/>
      <c r="N586" s="6"/>
      <c r="O586" s="99">
        <v>32250</v>
      </c>
      <c r="P586" s="99" t="s">
        <v>286</v>
      </c>
      <c r="Q586" s="99">
        <v>26.76</v>
      </c>
      <c r="R586" s="99">
        <v>26.76</v>
      </c>
      <c r="S586" t="s">
        <v>433</v>
      </c>
      <c r="T586">
        <f t="shared" si="36"/>
        <v>770554.20000000007</v>
      </c>
      <c r="U586">
        <f t="shared" si="37"/>
        <v>3455</v>
      </c>
      <c r="V586">
        <f t="shared" si="38"/>
        <v>863010</v>
      </c>
      <c r="W586">
        <f t="shared" si="39"/>
        <v>92455.79999999993</v>
      </c>
    </row>
    <row r="587" spans="1:23" x14ac:dyDescent="0.25">
      <c r="A587" s="204">
        <v>7203454549</v>
      </c>
      <c r="B587" s="204">
        <v>7203175930</v>
      </c>
      <c r="C587" s="126" t="s">
        <v>287</v>
      </c>
      <c r="D587" s="5">
        <v>6234000600</v>
      </c>
      <c r="E587" s="156">
        <v>44614</v>
      </c>
      <c r="F587" s="155">
        <v>28795</v>
      </c>
      <c r="G587" s="10" t="s">
        <v>1</v>
      </c>
      <c r="H587" s="107"/>
      <c r="I587" s="98">
        <v>0</v>
      </c>
      <c r="J587" s="99">
        <v>26.42</v>
      </c>
      <c r="K587" s="3"/>
      <c r="L587" s="3" t="s">
        <v>322</v>
      </c>
      <c r="M587" s="6"/>
      <c r="N587" s="6"/>
      <c r="O587" s="99">
        <v>32250</v>
      </c>
      <c r="P587" s="99" t="s">
        <v>286</v>
      </c>
      <c r="Q587" s="99">
        <v>26.42</v>
      </c>
      <c r="R587" s="99">
        <v>26.42</v>
      </c>
      <c r="S587" t="s">
        <v>433</v>
      </c>
      <c r="T587">
        <f t="shared" si="36"/>
        <v>760763.9</v>
      </c>
      <c r="U587">
        <f t="shared" si="37"/>
        <v>3455</v>
      </c>
      <c r="V587">
        <f t="shared" si="38"/>
        <v>852045</v>
      </c>
      <c r="W587">
        <f t="shared" si="39"/>
        <v>91281.099999999977</v>
      </c>
    </row>
    <row r="588" spans="1:23" x14ac:dyDescent="0.25">
      <c r="A588" s="204">
        <v>7203454549</v>
      </c>
      <c r="B588" s="204">
        <v>7203175930</v>
      </c>
      <c r="C588" s="126" t="s">
        <v>287</v>
      </c>
      <c r="D588" s="5">
        <v>6234000600</v>
      </c>
      <c r="E588" s="156">
        <v>44614</v>
      </c>
      <c r="F588" s="155">
        <v>28795</v>
      </c>
      <c r="G588" s="10" t="s">
        <v>1</v>
      </c>
      <c r="H588" s="107"/>
      <c r="I588" s="98">
        <v>0</v>
      </c>
      <c r="J588" s="99">
        <v>26.62</v>
      </c>
      <c r="K588" s="3"/>
      <c r="L588" s="3" t="s">
        <v>311</v>
      </c>
      <c r="M588" s="6"/>
      <c r="N588" s="6"/>
      <c r="O588" s="99">
        <v>32250</v>
      </c>
      <c r="P588" s="99" t="s">
        <v>286</v>
      </c>
      <c r="Q588" s="99">
        <v>26.62</v>
      </c>
      <c r="R588" s="99">
        <v>26.62</v>
      </c>
      <c r="S588" t="s">
        <v>433</v>
      </c>
      <c r="T588">
        <f t="shared" si="36"/>
        <v>766522.9</v>
      </c>
      <c r="U588">
        <f t="shared" si="37"/>
        <v>3455</v>
      </c>
      <c r="V588">
        <f t="shared" si="38"/>
        <v>858495</v>
      </c>
      <c r="W588">
        <f t="shared" si="39"/>
        <v>91972.099999999977</v>
      </c>
    </row>
    <row r="589" spans="1:23" x14ac:dyDescent="0.25">
      <c r="A589" s="204">
        <v>7203454549</v>
      </c>
      <c r="B589" s="204">
        <v>7203175930</v>
      </c>
      <c r="C589" s="126" t="s">
        <v>287</v>
      </c>
      <c r="D589" s="5">
        <v>6234000600</v>
      </c>
      <c r="E589" s="156">
        <v>44615</v>
      </c>
      <c r="F589" s="155">
        <v>28795</v>
      </c>
      <c r="G589" s="10" t="s">
        <v>1</v>
      </c>
      <c r="H589" s="107"/>
      <c r="I589" s="98">
        <v>0</v>
      </c>
      <c r="J589" s="99">
        <v>25.82</v>
      </c>
      <c r="K589" s="3"/>
      <c r="L589" s="3" t="s">
        <v>323</v>
      </c>
      <c r="M589" s="6"/>
      <c r="N589" s="6"/>
      <c r="O589" s="99">
        <v>32250</v>
      </c>
      <c r="P589" s="99" t="s">
        <v>286</v>
      </c>
      <c r="Q589" s="99">
        <v>25.82</v>
      </c>
      <c r="R589" s="99">
        <v>25.82</v>
      </c>
      <c r="S589" t="s">
        <v>433</v>
      </c>
      <c r="T589">
        <f t="shared" si="36"/>
        <v>743486.9</v>
      </c>
      <c r="U589">
        <f t="shared" si="37"/>
        <v>3455</v>
      </c>
      <c r="V589">
        <f t="shared" si="38"/>
        <v>832695</v>
      </c>
      <c r="W589">
        <f t="shared" si="39"/>
        <v>89208.099999999977</v>
      </c>
    </row>
    <row r="590" spans="1:23" x14ac:dyDescent="0.25">
      <c r="A590" s="204">
        <v>7203454549</v>
      </c>
      <c r="B590" s="204">
        <v>7203175930</v>
      </c>
      <c r="C590" s="126" t="s">
        <v>287</v>
      </c>
      <c r="D590" s="5">
        <v>6234000600</v>
      </c>
      <c r="E590" s="156">
        <v>44615</v>
      </c>
      <c r="F590" s="155">
        <v>28795</v>
      </c>
      <c r="G590" s="10" t="s">
        <v>1</v>
      </c>
      <c r="H590" s="107"/>
      <c r="I590" s="98">
        <v>0</v>
      </c>
      <c r="J590" s="99">
        <v>26.34</v>
      </c>
      <c r="K590" s="3"/>
      <c r="L590" s="3" t="s">
        <v>324</v>
      </c>
      <c r="M590" s="6"/>
      <c r="N590" s="6"/>
      <c r="O590" s="99">
        <v>32250</v>
      </c>
      <c r="P590" s="99" t="s">
        <v>286</v>
      </c>
      <c r="Q590" s="99">
        <v>26.34</v>
      </c>
      <c r="R590" s="99">
        <v>26.34</v>
      </c>
      <c r="S590" t="s">
        <v>433</v>
      </c>
      <c r="T590">
        <f t="shared" si="36"/>
        <v>758460.3</v>
      </c>
      <c r="U590">
        <f t="shared" si="37"/>
        <v>3455</v>
      </c>
      <c r="V590">
        <f t="shared" si="38"/>
        <v>849465</v>
      </c>
      <c r="W590">
        <f t="shared" si="39"/>
        <v>91004.699999999953</v>
      </c>
    </row>
    <row r="591" spans="1:23" x14ac:dyDescent="0.25">
      <c r="A591" s="204">
        <v>7203454549</v>
      </c>
      <c r="B591" s="204">
        <v>7203175930</v>
      </c>
      <c r="C591" s="126" t="s">
        <v>287</v>
      </c>
      <c r="D591" s="5">
        <v>6234000600</v>
      </c>
      <c r="E591" s="156">
        <v>44615</v>
      </c>
      <c r="F591" s="155">
        <v>28795</v>
      </c>
      <c r="G591" s="10" t="s">
        <v>1</v>
      </c>
      <c r="H591" s="107"/>
      <c r="I591" s="98">
        <v>0</v>
      </c>
      <c r="J591" s="99">
        <v>24.2</v>
      </c>
      <c r="K591" s="3"/>
      <c r="L591" s="3" t="s">
        <v>325</v>
      </c>
      <c r="M591" s="6"/>
      <c r="N591" s="6"/>
      <c r="O591" s="99">
        <v>32250</v>
      </c>
      <c r="P591" s="99" t="s">
        <v>286</v>
      </c>
      <c r="Q591" s="99">
        <v>24.2</v>
      </c>
      <c r="R591" s="99">
        <v>24.2</v>
      </c>
      <c r="S591" t="s">
        <v>433</v>
      </c>
      <c r="T591">
        <f t="shared" si="36"/>
        <v>696839</v>
      </c>
      <c r="U591">
        <f t="shared" si="37"/>
        <v>3455</v>
      </c>
      <c r="V591">
        <f t="shared" si="38"/>
        <v>780450</v>
      </c>
      <c r="W591">
        <f t="shared" si="39"/>
        <v>83611</v>
      </c>
    </row>
    <row r="592" spans="1:23" x14ac:dyDescent="0.25">
      <c r="A592" s="204">
        <v>7203454549</v>
      </c>
      <c r="B592" s="204">
        <v>7203175930</v>
      </c>
      <c r="C592" s="126" t="s">
        <v>287</v>
      </c>
      <c r="D592" s="5">
        <v>6234000600</v>
      </c>
      <c r="E592" s="156">
        <v>44615</v>
      </c>
      <c r="F592" s="155">
        <v>28795</v>
      </c>
      <c r="G592" s="10" t="s">
        <v>1</v>
      </c>
      <c r="H592" s="107"/>
      <c r="I592" s="98">
        <v>0</v>
      </c>
      <c r="J592" s="99">
        <v>26.58</v>
      </c>
      <c r="K592" s="3"/>
      <c r="L592" s="3" t="s">
        <v>326</v>
      </c>
      <c r="M592" s="6"/>
      <c r="N592" s="6"/>
      <c r="O592" s="99">
        <v>32250</v>
      </c>
      <c r="P592" s="99" t="s">
        <v>286</v>
      </c>
      <c r="Q592" s="99">
        <v>26.58</v>
      </c>
      <c r="R592" s="99">
        <v>26.58</v>
      </c>
      <c r="S592" t="s">
        <v>433</v>
      </c>
      <c r="T592">
        <f t="shared" si="36"/>
        <v>765371.1</v>
      </c>
      <c r="U592">
        <f t="shared" si="37"/>
        <v>3455</v>
      </c>
      <c r="V592">
        <f t="shared" si="38"/>
        <v>857205</v>
      </c>
      <c r="W592">
        <f t="shared" si="39"/>
        <v>91833.900000000023</v>
      </c>
    </row>
    <row r="593" spans="1:23" x14ac:dyDescent="0.25">
      <c r="A593" s="204">
        <v>7203454549</v>
      </c>
      <c r="B593" s="204">
        <v>7203175930</v>
      </c>
      <c r="C593" s="126" t="s">
        <v>287</v>
      </c>
      <c r="D593" s="5">
        <v>6234000600</v>
      </c>
      <c r="E593" s="156">
        <v>44615</v>
      </c>
      <c r="F593" s="155">
        <v>28795</v>
      </c>
      <c r="G593" s="10" t="s">
        <v>1</v>
      </c>
      <c r="H593" s="107"/>
      <c r="I593" s="98">
        <v>0</v>
      </c>
      <c r="J593" s="99">
        <v>26.52</v>
      </c>
      <c r="K593" s="3"/>
      <c r="L593" s="3" t="s">
        <v>327</v>
      </c>
      <c r="M593" s="6"/>
      <c r="N593" s="6"/>
      <c r="O593" s="99">
        <v>32250</v>
      </c>
      <c r="P593" s="99" t="s">
        <v>286</v>
      </c>
      <c r="Q593" s="99">
        <v>26.52</v>
      </c>
      <c r="R593" s="99">
        <v>26.52</v>
      </c>
      <c r="S593" t="s">
        <v>433</v>
      </c>
      <c r="T593">
        <f t="shared" si="36"/>
        <v>763643.4</v>
      </c>
      <c r="U593">
        <f t="shared" si="37"/>
        <v>3455</v>
      </c>
      <c r="V593">
        <f t="shared" si="38"/>
        <v>855270</v>
      </c>
      <c r="W593">
        <f t="shared" si="39"/>
        <v>91626.599999999977</v>
      </c>
    </row>
    <row r="594" spans="1:23" x14ac:dyDescent="0.25">
      <c r="A594" s="204">
        <v>7203454549</v>
      </c>
      <c r="B594" s="204">
        <v>7203175930</v>
      </c>
      <c r="C594" s="126" t="s">
        <v>287</v>
      </c>
      <c r="D594" s="5">
        <v>6234000600</v>
      </c>
      <c r="E594" s="156">
        <v>44615</v>
      </c>
      <c r="F594" s="155">
        <v>28795</v>
      </c>
      <c r="G594" s="10" t="s">
        <v>1</v>
      </c>
      <c r="H594" s="107"/>
      <c r="I594" s="98">
        <v>0</v>
      </c>
      <c r="J594" s="99">
        <v>26</v>
      </c>
      <c r="K594" s="3"/>
      <c r="L594" s="3" t="s">
        <v>328</v>
      </c>
      <c r="M594" s="6"/>
      <c r="N594" s="6"/>
      <c r="O594" s="99">
        <v>32250</v>
      </c>
      <c r="P594" s="99" t="s">
        <v>286</v>
      </c>
      <c r="Q594" s="99">
        <v>26</v>
      </c>
      <c r="R594" s="99">
        <v>26</v>
      </c>
      <c r="S594" t="s">
        <v>433</v>
      </c>
      <c r="T594">
        <f t="shared" si="36"/>
        <v>748670</v>
      </c>
      <c r="U594">
        <f t="shared" si="37"/>
        <v>3455</v>
      </c>
      <c r="V594">
        <f t="shared" si="38"/>
        <v>838500</v>
      </c>
      <c r="W594">
        <f t="shared" si="39"/>
        <v>89830</v>
      </c>
    </row>
    <row r="595" spans="1:23" x14ac:dyDescent="0.25">
      <c r="A595" s="204">
        <v>7203454549</v>
      </c>
      <c r="B595" s="204">
        <v>7203175930</v>
      </c>
      <c r="C595" s="126" t="s">
        <v>287</v>
      </c>
      <c r="D595" s="5">
        <v>6234000600</v>
      </c>
      <c r="E595" s="156">
        <v>44615</v>
      </c>
      <c r="F595" s="155">
        <v>28795</v>
      </c>
      <c r="G595" s="10" t="s">
        <v>1</v>
      </c>
      <c r="H595" s="107"/>
      <c r="I595" s="98">
        <v>0</v>
      </c>
      <c r="J595" s="99">
        <v>25.68</v>
      </c>
      <c r="K595" s="3"/>
      <c r="L595" s="3" t="s">
        <v>329</v>
      </c>
      <c r="M595" s="6"/>
      <c r="N595" s="6"/>
      <c r="O595" s="99">
        <v>32250</v>
      </c>
      <c r="P595" s="99" t="s">
        <v>286</v>
      </c>
      <c r="Q595" s="99">
        <v>25.68</v>
      </c>
      <c r="R595" s="99">
        <v>25.68</v>
      </c>
      <c r="S595" t="s">
        <v>433</v>
      </c>
      <c r="T595">
        <f t="shared" si="36"/>
        <v>739455.6</v>
      </c>
      <c r="U595">
        <f t="shared" si="37"/>
        <v>3455</v>
      </c>
      <c r="V595">
        <f t="shared" si="38"/>
        <v>828180</v>
      </c>
      <c r="W595">
        <f t="shared" si="39"/>
        <v>88724.400000000023</v>
      </c>
    </row>
    <row r="596" spans="1:23" x14ac:dyDescent="0.25">
      <c r="A596" s="204">
        <v>7203454549</v>
      </c>
      <c r="B596" s="204">
        <v>7203175930</v>
      </c>
      <c r="C596" s="126" t="s">
        <v>287</v>
      </c>
      <c r="D596" s="5">
        <v>6234000600</v>
      </c>
      <c r="E596" s="156">
        <v>44616</v>
      </c>
      <c r="F596" s="155">
        <v>28795</v>
      </c>
      <c r="G596" s="10" t="s">
        <v>1</v>
      </c>
      <c r="H596" s="107"/>
      <c r="I596" s="98">
        <v>0</v>
      </c>
      <c r="J596" s="99">
        <v>24.76</v>
      </c>
      <c r="K596" s="3"/>
      <c r="L596" s="3"/>
      <c r="M596" s="6"/>
      <c r="N596" s="6"/>
      <c r="O596" s="99">
        <v>32250</v>
      </c>
      <c r="P596" s="99" t="s">
        <v>286</v>
      </c>
      <c r="Q596" s="99">
        <v>24.76</v>
      </c>
      <c r="R596" s="99">
        <v>24.76</v>
      </c>
      <c r="S596" t="s">
        <v>433</v>
      </c>
      <c r="T596">
        <f t="shared" si="36"/>
        <v>712964.20000000007</v>
      </c>
      <c r="U596">
        <f t="shared" si="37"/>
        <v>3455</v>
      </c>
      <c r="V596">
        <f t="shared" si="38"/>
        <v>798510</v>
      </c>
      <c r="W596">
        <f t="shared" si="39"/>
        <v>85545.79999999993</v>
      </c>
    </row>
    <row r="597" spans="1:23" x14ac:dyDescent="0.25">
      <c r="A597" s="204">
        <v>7203454549</v>
      </c>
      <c r="B597" s="204">
        <v>7203175930</v>
      </c>
      <c r="C597" s="126" t="s">
        <v>287</v>
      </c>
      <c r="D597" s="5">
        <v>6234000600</v>
      </c>
      <c r="E597" s="156">
        <v>44616</v>
      </c>
      <c r="F597" s="155">
        <v>28795</v>
      </c>
      <c r="G597" s="10" t="s">
        <v>1</v>
      </c>
      <c r="H597" s="107"/>
      <c r="I597" s="98">
        <v>0</v>
      </c>
      <c r="J597" s="99">
        <v>23.9</v>
      </c>
      <c r="K597" s="3"/>
      <c r="L597" s="3"/>
      <c r="M597" s="6"/>
      <c r="N597" s="6"/>
      <c r="O597" s="99">
        <v>32250</v>
      </c>
      <c r="P597" s="99" t="s">
        <v>286</v>
      </c>
      <c r="Q597" s="99">
        <v>23.9</v>
      </c>
      <c r="R597" s="99">
        <v>23.9</v>
      </c>
      <c r="S597" t="s">
        <v>433</v>
      </c>
      <c r="T597">
        <f t="shared" si="36"/>
        <v>688200.5</v>
      </c>
      <c r="U597">
        <f t="shared" si="37"/>
        <v>3455</v>
      </c>
      <c r="V597">
        <f t="shared" si="38"/>
        <v>770775</v>
      </c>
      <c r="W597">
        <f t="shared" si="39"/>
        <v>82574.5</v>
      </c>
    </row>
    <row r="598" spans="1:23" x14ac:dyDescent="0.25">
      <c r="A598" s="204">
        <v>7203454549</v>
      </c>
      <c r="B598" s="204">
        <v>7203175930</v>
      </c>
      <c r="C598" s="126" t="s">
        <v>287</v>
      </c>
      <c r="D598" s="5">
        <v>6234000600</v>
      </c>
      <c r="E598" s="156">
        <v>44616</v>
      </c>
      <c r="F598" s="155">
        <v>28795</v>
      </c>
      <c r="G598" s="10" t="s">
        <v>1</v>
      </c>
      <c r="H598" s="107"/>
      <c r="I598" s="98">
        <v>0</v>
      </c>
      <c r="J598" s="99">
        <v>26.06</v>
      </c>
      <c r="K598" s="3"/>
      <c r="L598" s="3"/>
      <c r="M598" s="6"/>
      <c r="N598" s="6"/>
      <c r="O598" s="99">
        <v>32250</v>
      </c>
      <c r="P598" s="99" t="s">
        <v>286</v>
      </c>
      <c r="Q598" s="99">
        <v>26.06</v>
      </c>
      <c r="R598" s="99">
        <v>26.06</v>
      </c>
      <c r="S598" t="s">
        <v>433</v>
      </c>
      <c r="T598">
        <f t="shared" si="36"/>
        <v>750397.7</v>
      </c>
      <c r="U598">
        <f t="shared" si="37"/>
        <v>3455</v>
      </c>
      <c r="V598">
        <f t="shared" si="38"/>
        <v>840435</v>
      </c>
      <c r="W598">
        <f t="shared" si="39"/>
        <v>90037.300000000047</v>
      </c>
    </row>
    <row r="599" spans="1:23" x14ac:dyDescent="0.25">
      <c r="A599" s="204">
        <v>7203454549</v>
      </c>
      <c r="B599" s="204">
        <v>7203175930</v>
      </c>
      <c r="C599" s="126" t="s">
        <v>287</v>
      </c>
      <c r="D599" s="5">
        <v>6234000600</v>
      </c>
      <c r="E599" s="156">
        <v>44616</v>
      </c>
      <c r="F599" s="155">
        <v>28795</v>
      </c>
      <c r="G599" s="10" t="s">
        <v>1</v>
      </c>
      <c r="H599" s="107"/>
      <c r="I599" s="98">
        <v>0</v>
      </c>
      <c r="J599" s="99">
        <v>26.48</v>
      </c>
      <c r="K599" s="3"/>
      <c r="L599" s="3"/>
      <c r="M599" s="6"/>
      <c r="N599" s="6"/>
      <c r="O599" s="99">
        <v>32250</v>
      </c>
      <c r="P599" s="99" t="s">
        <v>286</v>
      </c>
      <c r="Q599" s="99">
        <v>26.48</v>
      </c>
      <c r="R599" s="99">
        <v>26.48</v>
      </c>
      <c r="S599" t="s">
        <v>433</v>
      </c>
      <c r="T599">
        <f t="shared" si="36"/>
        <v>762491.6</v>
      </c>
      <c r="U599">
        <f t="shared" si="37"/>
        <v>3455</v>
      </c>
      <c r="V599">
        <f t="shared" si="38"/>
        <v>853980</v>
      </c>
      <c r="W599">
        <f t="shared" si="39"/>
        <v>91488.400000000023</v>
      </c>
    </row>
    <row r="600" spans="1:23" x14ac:dyDescent="0.25">
      <c r="A600" s="204">
        <v>7203454549</v>
      </c>
      <c r="B600" s="204">
        <v>7203175930</v>
      </c>
      <c r="C600" s="126" t="s">
        <v>287</v>
      </c>
      <c r="D600" s="5">
        <v>6234000600</v>
      </c>
      <c r="E600" s="156">
        <v>44616</v>
      </c>
      <c r="F600" s="155">
        <v>28795</v>
      </c>
      <c r="G600" s="10" t="s">
        <v>1</v>
      </c>
      <c r="H600" s="107"/>
      <c r="I600" s="98">
        <v>0</v>
      </c>
      <c r="J600" s="99">
        <v>26.44</v>
      </c>
      <c r="K600" s="3"/>
      <c r="L600" s="3"/>
      <c r="M600" s="6"/>
      <c r="N600" s="6"/>
      <c r="O600" s="99">
        <v>32250</v>
      </c>
      <c r="P600" s="99" t="s">
        <v>286</v>
      </c>
      <c r="Q600" s="99">
        <v>26.44</v>
      </c>
      <c r="R600" s="99">
        <v>26.44</v>
      </c>
      <c r="S600" t="s">
        <v>433</v>
      </c>
      <c r="T600">
        <f t="shared" si="36"/>
        <v>761339.8</v>
      </c>
      <c r="U600">
        <f t="shared" si="37"/>
        <v>3455</v>
      </c>
      <c r="V600">
        <f t="shared" si="38"/>
        <v>852690</v>
      </c>
      <c r="W600">
        <f t="shared" si="39"/>
        <v>91350.199999999953</v>
      </c>
    </row>
    <row r="601" spans="1:23" x14ac:dyDescent="0.25">
      <c r="A601" s="204">
        <v>7203454549</v>
      </c>
      <c r="B601" s="204">
        <v>7203175930</v>
      </c>
      <c r="C601" s="126" t="s">
        <v>287</v>
      </c>
      <c r="D601" s="5">
        <v>6234000600</v>
      </c>
      <c r="E601" s="156">
        <v>44617</v>
      </c>
      <c r="F601" s="155">
        <v>28795</v>
      </c>
      <c r="G601" s="10" t="s">
        <v>1</v>
      </c>
      <c r="H601" s="107"/>
      <c r="I601" s="98">
        <v>0</v>
      </c>
      <c r="J601" s="99">
        <v>25.68</v>
      </c>
      <c r="K601" s="3"/>
      <c r="L601" s="3"/>
      <c r="M601" s="6"/>
      <c r="N601" s="6"/>
      <c r="O601" s="99">
        <v>32250</v>
      </c>
      <c r="P601" s="99" t="s">
        <v>286</v>
      </c>
      <c r="Q601" s="99">
        <v>25.68</v>
      </c>
      <c r="R601" s="99">
        <v>25.68</v>
      </c>
      <c r="S601" t="s">
        <v>433</v>
      </c>
      <c r="T601">
        <f t="shared" si="36"/>
        <v>739455.6</v>
      </c>
      <c r="U601">
        <f t="shared" si="37"/>
        <v>3455</v>
      </c>
      <c r="V601">
        <f t="shared" si="38"/>
        <v>828180</v>
      </c>
      <c r="W601">
        <f t="shared" si="39"/>
        <v>88724.400000000023</v>
      </c>
    </row>
    <row r="602" spans="1:23" x14ac:dyDescent="0.25">
      <c r="A602" s="204">
        <v>7203454549</v>
      </c>
      <c r="B602" s="204">
        <v>7203175930</v>
      </c>
      <c r="C602" s="126" t="s">
        <v>287</v>
      </c>
      <c r="D602" s="5">
        <v>6234000600</v>
      </c>
      <c r="E602" s="156">
        <v>44617</v>
      </c>
      <c r="F602" s="155">
        <v>28795</v>
      </c>
      <c r="G602" s="10" t="s">
        <v>1</v>
      </c>
      <c r="H602" s="107"/>
      <c r="I602" s="98">
        <v>0</v>
      </c>
      <c r="J602" s="99">
        <v>25.22</v>
      </c>
      <c r="K602" s="3"/>
      <c r="L602" s="3"/>
      <c r="M602" s="6"/>
      <c r="N602" s="6"/>
      <c r="O602" s="99">
        <v>32250</v>
      </c>
      <c r="P602" s="99" t="s">
        <v>286</v>
      </c>
      <c r="Q602" s="99">
        <v>25.22</v>
      </c>
      <c r="R602" s="99">
        <v>25.22</v>
      </c>
      <c r="S602" t="s">
        <v>433</v>
      </c>
      <c r="T602">
        <f t="shared" si="36"/>
        <v>726209.9</v>
      </c>
      <c r="U602">
        <f t="shared" si="37"/>
        <v>3455</v>
      </c>
      <c r="V602">
        <f t="shared" si="38"/>
        <v>813345</v>
      </c>
      <c r="W602">
        <f t="shared" si="39"/>
        <v>87135.099999999977</v>
      </c>
    </row>
    <row r="603" spans="1:23" x14ac:dyDescent="0.25">
      <c r="A603" s="204">
        <v>7203454549</v>
      </c>
      <c r="B603" s="204">
        <v>7203175930</v>
      </c>
      <c r="C603" s="126" t="s">
        <v>287</v>
      </c>
      <c r="D603" s="5">
        <v>6234000600</v>
      </c>
      <c r="E603" s="156">
        <v>44617</v>
      </c>
      <c r="F603" s="155">
        <v>28795</v>
      </c>
      <c r="G603" s="10" t="s">
        <v>1</v>
      </c>
      <c r="H603" s="107"/>
      <c r="I603" s="98">
        <v>0</v>
      </c>
      <c r="J603" s="99">
        <v>26.28</v>
      </c>
      <c r="K603" s="3"/>
      <c r="L603" s="3"/>
      <c r="M603" s="6"/>
      <c r="N603" s="6"/>
      <c r="O603" s="99">
        <v>32250</v>
      </c>
      <c r="P603" s="99" t="s">
        <v>286</v>
      </c>
      <c r="Q603" s="99">
        <v>26.28</v>
      </c>
      <c r="R603" s="99">
        <v>26.28</v>
      </c>
      <c r="S603" t="s">
        <v>433</v>
      </c>
      <c r="T603">
        <f t="shared" si="36"/>
        <v>756732.6</v>
      </c>
      <c r="U603">
        <f t="shared" si="37"/>
        <v>3455</v>
      </c>
      <c r="V603">
        <f t="shared" si="38"/>
        <v>847530</v>
      </c>
      <c r="W603">
        <f t="shared" si="39"/>
        <v>90797.400000000023</v>
      </c>
    </row>
    <row r="604" spans="1:23" x14ac:dyDescent="0.25">
      <c r="A604" s="204">
        <v>7203454549</v>
      </c>
      <c r="B604" s="204">
        <v>7203175930</v>
      </c>
      <c r="C604" s="126" t="s">
        <v>287</v>
      </c>
      <c r="D604" s="5">
        <v>6234000600</v>
      </c>
      <c r="E604" s="156">
        <v>44617</v>
      </c>
      <c r="F604" s="155">
        <v>28795</v>
      </c>
      <c r="G604" s="10" t="s">
        <v>1</v>
      </c>
      <c r="H604" s="107"/>
      <c r="I604" s="98">
        <v>0</v>
      </c>
      <c r="J604" s="99">
        <v>26.4</v>
      </c>
      <c r="K604" s="3"/>
      <c r="L604" s="3"/>
      <c r="M604" s="6"/>
      <c r="N604" s="6"/>
      <c r="O604" s="99">
        <v>32250</v>
      </c>
      <c r="P604" s="99" t="s">
        <v>286</v>
      </c>
      <c r="Q604" s="99">
        <v>26.4</v>
      </c>
      <c r="R604" s="99">
        <v>26.4</v>
      </c>
      <c r="S604" t="s">
        <v>433</v>
      </c>
      <c r="T604">
        <f t="shared" si="36"/>
        <v>760188</v>
      </c>
      <c r="U604">
        <f t="shared" si="37"/>
        <v>3455</v>
      </c>
      <c r="V604">
        <f t="shared" si="38"/>
        <v>851400</v>
      </c>
      <c r="W604">
        <f t="shared" si="39"/>
        <v>91212</v>
      </c>
    </row>
    <row r="605" spans="1:23" x14ac:dyDescent="0.25">
      <c r="A605" s="204">
        <v>7203454549</v>
      </c>
      <c r="B605" s="204">
        <v>7203175930</v>
      </c>
      <c r="C605" s="126" t="s">
        <v>287</v>
      </c>
      <c r="D605" s="5">
        <v>6234000600</v>
      </c>
      <c r="E605" s="156">
        <v>44619</v>
      </c>
      <c r="F605" s="155">
        <v>28795</v>
      </c>
      <c r="G605" s="10" t="s">
        <v>1</v>
      </c>
      <c r="H605" s="107"/>
      <c r="I605" s="98">
        <v>0</v>
      </c>
      <c r="J605" s="99">
        <v>23.24</v>
      </c>
      <c r="K605" s="3"/>
      <c r="L605" s="3"/>
      <c r="M605" s="6"/>
      <c r="N605" s="6"/>
      <c r="O605" s="99">
        <v>32250</v>
      </c>
      <c r="P605" s="99" t="s">
        <v>286</v>
      </c>
      <c r="Q605" s="99">
        <v>23.24</v>
      </c>
      <c r="R605" s="99">
        <v>23.24</v>
      </c>
      <c r="S605" t="s">
        <v>433</v>
      </c>
      <c r="T605">
        <f t="shared" si="36"/>
        <v>669195.79999999993</v>
      </c>
      <c r="U605">
        <f t="shared" si="37"/>
        <v>3455</v>
      </c>
      <c r="V605">
        <f t="shared" si="38"/>
        <v>749490</v>
      </c>
      <c r="W605">
        <f t="shared" si="39"/>
        <v>80294.20000000007</v>
      </c>
    </row>
    <row r="606" spans="1:23" x14ac:dyDescent="0.25">
      <c r="A606" s="204">
        <v>7203454549</v>
      </c>
      <c r="B606" s="204">
        <v>7203175930</v>
      </c>
      <c r="C606" s="126" t="s">
        <v>287</v>
      </c>
      <c r="D606" s="5">
        <v>6234000600</v>
      </c>
      <c r="E606" s="156">
        <v>44619</v>
      </c>
      <c r="F606" s="155">
        <v>28795</v>
      </c>
      <c r="G606" s="10" t="s">
        <v>1</v>
      </c>
      <c r="H606" s="107"/>
      <c r="I606" s="98">
        <v>0</v>
      </c>
      <c r="J606" s="99">
        <v>25.18</v>
      </c>
      <c r="K606" s="3"/>
      <c r="L606" s="3"/>
      <c r="M606" s="6"/>
      <c r="N606" s="6"/>
      <c r="O606" s="99">
        <v>32250</v>
      </c>
      <c r="P606" s="99" t="s">
        <v>286</v>
      </c>
      <c r="Q606" s="99">
        <v>25.18</v>
      </c>
      <c r="R606" s="99">
        <v>25.18</v>
      </c>
      <c r="S606" t="s">
        <v>433</v>
      </c>
      <c r="T606">
        <f t="shared" si="36"/>
        <v>725058.1</v>
      </c>
      <c r="U606">
        <f t="shared" si="37"/>
        <v>3455</v>
      </c>
      <c r="V606">
        <f t="shared" si="38"/>
        <v>812055</v>
      </c>
      <c r="W606">
        <f t="shared" si="39"/>
        <v>86996.900000000023</v>
      </c>
    </row>
    <row r="607" spans="1:23" x14ac:dyDescent="0.25">
      <c r="A607" s="204">
        <v>7203454549</v>
      </c>
      <c r="B607" s="204">
        <v>7203175930</v>
      </c>
      <c r="C607" s="126" t="s">
        <v>287</v>
      </c>
      <c r="D607" s="5">
        <v>6234000600</v>
      </c>
      <c r="E607" s="156">
        <v>44619</v>
      </c>
      <c r="F607" s="155">
        <v>28795</v>
      </c>
      <c r="G607" s="10" t="s">
        <v>1</v>
      </c>
      <c r="H607" s="107"/>
      <c r="I607" s="98">
        <v>0</v>
      </c>
      <c r="J607" s="99">
        <v>25.98</v>
      </c>
      <c r="K607" s="3"/>
      <c r="L607" s="3"/>
      <c r="M607" s="6"/>
      <c r="N607" s="6"/>
      <c r="O607" s="99">
        <v>32250</v>
      </c>
      <c r="P607" s="99" t="s">
        <v>286</v>
      </c>
      <c r="Q607" s="99">
        <v>25.98</v>
      </c>
      <c r="R607" s="99">
        <v>25.98</v>
      </c>
      <c r="S607" t="s">
        <v>433</v>
      </c>
      <c r="T607">
        <f t="shared" si="36"/>
        <v>748094.1</v>
      </c>
      <c r="U607">
        <f t="shared" si="37"/>
        <v>3455</v>
      </c>
      <c r="V607">
        <f t="shared" si="38"/>
        <v>837855</v>
      </c>
      <c r="W607">
        <f t="shared" si="39"/>
        <v>89760.900000000023</v>
      </c>
    </row>
    <row r="608" spans="1:23" x14ac:dyDescent="0.25">
      <c r="A608" s="204">
        <v>7203454549</v>
      </c>
      <c r="B608" s="204">
        <v>7203175930</v>
      </c>
      <c r="C608" s="126" t="s">
        <v>287</v>
      </c>
      <c r="D608" s="5">
        <v>6234000600</v>
      </c>
      <c r="E608" s="156">
        <v>44619</v>
      </c>
      <c r="F608" s="155">
        <v>28795</v>
      </c>
      <c r="G608" s="10" t="s">
        <v>1</v>
      </c>
      <c r="H608" s="107"/>
      <c r="I608" s="98">
        <v>0</v>
      </c>
      <c r="J608" s="99">
        <v>26.5</v>
      </c>
      <c r="K608" s="3"/>
      <c r="L608" s="3"/>
      <c r="M608" s="6"/>
      <c r="N608" s="6"/>
      <c r="O608" s="99">
        <v>32250</v>
      </c>
      <c r="P608" s="99" t="s">
        <v>286</v>
      </c>
      <c r="Q608" s="99">
        <v>26.5</v>
      </c>
      <c r="R608" s="99">
        <v>26.5</v>
      </c>
      <c r="S608" t="s">
        <v>433</v>
      </c>
      <c r="T608">
        <f t="shared" si="36"/>
        <v>763067.5</v>
      </c>
      <c r="U608">
        <f t="shared" si="37"/>
        <v>3455</v>
      </c>
      <c r="V608">
        <f t="shared" si="38"/>
        <v>854625</v>
      </c>
      <c r="W608">
        <f t="shared" si="39"/>
        <v>91557.5</v>
      </c>
    </row>
    <row r="609" spans="1:23" x14ac:dyDescent="0.25">
      <c r="A609" s="204">
        <v>7203454549</v>
      </c>
      <c r="B609" s="204">
        <v>7203175930</v>
      </c>
      <c r="C609" s="126" t="s">
        <v>287</v>
      </c>
      <c r="D609" s="5">
        <v>6234000600</v>
      </c>
      <c r="E609" s="156">
        <v>44620</v>
      </c>
      <c r="F609" s="155">
        <v>28795</v>
      </c>
      <c r="G609" s="10" t="s">
        <v>1</v>
      </c>
      <c r="H609" s="107"/>
      <c r="I609" s="98">
        <v>0</v>
      </c>
      <c r="J609" s="99">
        <v>26.16</v>
      </c>
      <c r="K609" s="3"/>
      <c r="L609" s="3"/>
      <c r="M609" s="6"/>
      <c r="N609" s="6"/>
      <c r="O609" s="99">
        <v>32250</v>
      </c>
      <c r="P609" s="99" t="s">
        <v>286</v>
      </c>
      <c r="Q609" s="99">
        <v>26.16</v>
      </c>
      <c r="R609" s="99">
        <v>26.16</v>
      </c>
      <c r="S609" t="s">
        <v>433</v>
      </c>
      <c r="T609">
        <f t="shared" si="36"/>
        <v>753277.2</v>
      </c>
      <c r="U609">
        <f t="shared" si="37"/>
        <v>3455</v>
      </c>
      <c r="V609">
        <f t="shared" si="38"/>
        <v>843660</v>
      </c>
      <c r="W609">
        <f t="shared" si="39"/>
        <v>90382.800000000047</v>
      </c>
    </row>
    <row r="610" spans="1:23" x14ac:dyDescent="0.25">
      <c r="A610" s="204">
        <v>7203454549</v>
      </c>
      <c r="B610" s="204">
        <v>7203175930</v>
      </c>
      <c r="C610" s="126" t="s">
        <v>287</v>
      </c>
      <c r="D610" s="5">
        <v>6234000600</v>
      </c>
      <c r="E610" s="156">
        <v>44620</v>
      </c>
      <c r="F610" s="155">
        <v>28795</v>
      </c>
      <c r="G610" s="10" t="s">
        <v>1</v>
      </c>
      <c r="H610" s="107"/>
      <c r="I610" s="98">
        <v>0</v>
      </c>
      <c r="J610" s="99">
        <v>23.2</v>
      </c>
      <c r="K610" s="3"/>
      <c r="L610" s="3"/>
      <c r="M610" s="6"/>
      <c r="N610" s="6"/>
      <c r="O610" s="99">
        <v>32250</v>
      </c>
      <c r="P610" s="99" t="s">
        <v>286</v>
      </c>
      <c r="Q610" s="99">
        <v>23.2</v>
      </c>
      <c r="R610" s="99">
        <v>23.2</v>
      </c>
      <c r="S610" t="s">
        <v>433</v>
      </c>
      <c r="T610">
        <f t="shared" si="36"/>
        <v>668044</v>
      </c>
      <c r="U610">
        <f t="shared" si="37"/>
        <v>3455</v>
      </c>
      <c r="V610">
        <f t="shared" si="38"/>
        <v>748200</v>
      </c>
      <c r="W610">
        <f t="shared" si="39"/>
        <v>80156</v>
      </c>
    </row>
    <row r="611" spans="1:23" x14ac:dyDescent="0.25">
      <c r="A611" s="204">
        <v>7203454549</v>
      </c>
      <c r="B611" s="204">
        <v>7203175930</v>
      </c>
      <c r="C611" s="126" t="s">
        <v>287</v>
      </c>
      <c r="D611" s="5">
        <v>6234000600</v>
      </c>
      <c r="E611" s="156">
        <v>44620</v>
      </c>
      <c r="F611" s="155">
        <v>28795</v>
      </c>
      <c r="G611" s="10" t="s">
        <v>1</v>
      </c>
      <c r="H611" s="107"/>
      <c r="I611" s="98">
        <v>0</v>
      </c>
      <c r="J611" s="99">
        <v>24.02</v>
      </c>
      <c r="K611" s="3"/>
      <c r="L611" s="3"/>
      <c r="M611" s="6"/>
      <c r="N611" s="6"/>
      <c r="O611" s="99">
        <v>32250</v>
      </c>
      <c r="P611" s="99" t="s">
        <v>286</v>
      </c>
      <c r="Q611" s="99">
        <v>24.02</v>
      </c>
      <c r="R611" s="99">
        <v>24.02</v>
      </c>
      <c r="S611" t="s">
        <v>433</v>
      </c>
      <c r="T611">
        <f t="shared" si="36"/>
        <v>691655.9</v>
      </c>
      <c r="U611">
        <f t="shared" si="37"/>
        <v>3455</v>
      </c>
      <c r="V611">
        <f t="shared" si="38"/>
        <v>774645</v>
      </c>
      <c r="W611">
        <f t="shared" si="39"/>
        <v>82989.099999999977</v>
      </c>
    </row>
    <row r="612" spans="1:23" x14ac:dyDescent="0.25">
      <c r="A612" s="204">
        <v>7203454549</v>
      </c>
      <c r="B612" s="204">
        <v>7203175930</v>
      </c>
      <c r="C612" s="126" t="s">
        <v>287</v>
      </c>
      <c r="D612" s="5">
        <v>6234000600</v>
      </c>
      <c r="E612" s="156">
        <v>44620</v>
      </c>
      <c r="F612" s="155">
        <v>28795</v>
      </c>
      <c r="G612" s="10" t="s">
        <v>1</v>
      </c>
      <c r="H612" s="107"/>
      <c r="I612" s="98">
        <v>0</v>
      </c>
      <c r="J612" s="99">
        <v>26.46</v>
      </c>
      <c r="K612" s="3"/>
      <c r="L612" s="3"/>
      <c r="M612" s="6"/>
      <c r="N612" s="6"/>
      <c r="O612" s="99">
        <v>32250</v>
      </c>
      <c r="P612" s="99" t="s">
        <v>286</v>
      </c>
      <c r="Q612" s="99">
        <v>26.46</v>
      </c>
      <c r="R612" s="99">
        <v>26.46</v>
      </c>
      <c r="S612" t="s">
        <v>433</v>
      </c>
      <c r="T612">
        <f t="shared" si="36"/>
        <v>761915.70000000007</v>
      </c>
      <c r="U612">
        <f t="shared" si="37"/>
        <v>3455</v>
      </c>
      <c r="V612">
        <f t="shared" si="38"/>
        <v>853335</v>
      </c>
      <c r="W612">
        <f t="shared" si="39"/>
        <v>91419.29999999993</v>
      </c>
    </row>
    <row r="613" spans="1:23" x14ac:dyDescent="0.25">
      <c r="A613" s="204">
        <v>7203454549</v>
      </c>
      <c r="B613" s="204">
        <v>7203175930</v>
      </c>
      <c r="C613" s="126" t="s">
        <v>287</v>
      </c>
      <c r="D613" s="5">
        <v>6234000600</v>
      </c>
      <c r="E613" s="156">
        <v>44620</v>
      </c>
      <c r="F613" s="155">
        <v>28795</v>
      </c>
      <c r="G613" s="10" t="s">
        <v>1</v>
      </c>
      <c r="H613" s="107"/>
      <c r="I613" s="98">
        <v>0</v>
      </c>
      <c r="J613" s="99">
        <v>26.34</v>
      </c>
      <c r="K613" s="3"/>
      <c r="L613" s="3"/>
      <c r="M613" s="6"/>
      <c r="N613" s="6"/>
      <c r="O613" s="99">
        <v>32250</v>
      </c>
      <c r="P613" s="99" t="s">
        <v>286</v>
      </c>
      <c r="Q613" s="99">
        <v>26.34</v>
      </c>
      <c r="R613" s="99">
        <v>26.34</v>
      </c>
      <c r="S613" t="s">
        <v>433</v>
      </c>
      <c r="T613">
        <f t="shared" si="36"/>
        <v>758460.3</v>
      </c>
      <c r="U613">
        <f t="shared" si="37"/>
        <v>3455</v>
      </c>
      <c r="V613">
        <f t="shared" si="38"/>
        <v>849465</v>
      </c>
      <c r="W613">
        <f t="shared" si="39"/>
        <v>91004.699999999953</v>
      </c>
    </row>
    <row r="614" spans="1:23" x14ac:dyDescent="0.25">
      <c r="A614" s="204">
        <v>7203454549</v>
      </c>
      <c r="B614" s="204">
        <v>7203175930</v>
      </c>
      <c r="C614" s="126" t="s">
        <v>287</v>
      </c>
      <c r="D614" s="5">
        <v>6234000600</v>
      </c>
      <c r="E614" s="156">
        <v>44620</v>
      </c>
      <c r="F614" s="155">
        <v>28795</v>
      </c>
      <c r="G614" s="10" t="s">
        <v>1</v>
      </c>
      <c r="H614" s="107"/>
      <c r="I614" s="98">
        <v>0</v>
      </c>
      <c r="J614" s="99">
        <v>26.42</v>
      </c>
      <c r="K614" s="3"/>
      <c r="L614" s="3"/>
      <c r="M614" s="6"/>
      <c r="N614" s="6"/>
      <c r="O614" s="99">
        <v>32250</v>
      </c>
      <c r="P614" s="99" t="s">
        <v>286</v>
      </c>
      <c r="Q614" s="99">
        <v>26.42</v>
      </c>
      <c r="R614" s="99">
        <v>26.42</v>
      </c>
      <c r="S614" t="s">
        <v>433</v>
      </c>
      <c r="T614">
        <f t="shared" si="36"/>
        <v>760763.9</v>
      </c>
      <c r="U614">
        <f t="shared" si="37"/>
        <v>3455</v>
      </c>
      <c r="V614">
        <f t="shared" si="38"/>
        <v>852045</v>
      </c>
      <c r="W614">
        <f t="shared" si="39"/>
        <v>91281.099999999977</v>
      </c>
    </row>
    <row r="615" spans="1:23" x14ac:dyDescent="0.25">
      <c r="A615" s="204">
        <v>7203454549</v>
      </c>
      <c r="B615" s="204">
        <v>7203175930</v>
      </c>
      <c r="C615" s="126" t="s">
        <v>287</v>
      </c>
      <c r="D615" s="5">
        <v>6234000600</v>
      </c>
      <c r="E615" s="156">
        <v>44621</v>
      </c>
      <c r="F615" s="155">
        <v>28795</v>
      </c>
      <c r="G615" s="10" t="s">
        <v>1</v>
      </c>
      <c r="H615" s="107"/>
      <c r="I615" s="98">
        <v>0</v>
      </c>
      <c r="J615" s="99">
        <v>22.18</v>
      </c>
      <c r="K615" s="3"/>
      <c r="L615" s="3"/>
      <c r="M615" s="6"/>
      <c r="N615" s="6"/>
      <c r="O615" s="99">
        <v>32250</v>
      </c>
      <c r="P615" s="99" t="s">
        <v>286</v>
      </c>
      <c r="Q615" s="99">
        <v>22.18</v>
      </c>
      <c r="R615" s="99">
        <v>22.18</v>
      </c>
      <c r="S615" t="s">
        <v>433</v>
      </c>
      <c r="T615">
        <f t="shared" si="36"/>
        <v>638673.1</v>
      </c>
      <c r="U615">
        <f t="shared" si="37"/>
        <v>3455</v>
      </c>
      <c r="V615">
        <f t="shared" si="38"/>
        <v>715305</v>
      </c>
      <c r="W615">
        <f t="shared" si="39"/>
        <v>76631.900000000023</v>
      </c>
    </row>
    <row r="616" spans="1:23" x14ac:dyDescent="0.25">
      <c r="A616" s="204">
        <v>7203454549</v>
      </c>
      <c r="B616" s="204">
        <v>7203175930</v>
      </c>
      <c r="C616" s="126" t="s">
        <v>287</v>
      </c>
      <c r="D616" s="5">
        <v>6234000600</v>
      </c>
      <c r="E616" s="156">
        <v>44621</v>
      </c>
      <c r="F616" s="155">
        <v>28795</v>
      </c>
      <c r="G616" s="10" t="s">
        <v>1</v>
      </c>
      <c r="H616" s="107"/>
      <c r="I616" s="98">
        <v>0</v>
      </c>
      <c r="J616" s="99">
        <v>22.52</v>
      </c>
      <c r="K616" s="3"/>
      <c r="L616" s="3"/>
      <c r="M616" s="6"/>
      <c r="N616" s="6"/>
      <c r="O616" s="99">
        <v>32250</v>
      </c>
      <c r="P616" s="99" t="s">
        <v>286</v>
      </c>
      <c r="Q616" s="99">
        <v>22.52</v>
      </c>
      <c r="R616" s="99">
        <v>22.52</v>
      </c>
      <c r="S616" t="s">
        <v>433</v>
      </c>
      <c r="T616">
        <f t="shared" si="36"/>
        <v>648463.4</v>
      </c>
      <c r="U616">
        <f t="shared" si="37"/>
        <v>3455</v>
      </c>
      <c r="V616">
        <f t="shared" si="38"/>
        <v>726270</v>
      </c>
      <c r="W616">
        <f t="shared" si="39"/>
        <v>77806.599999999977</v>
      </c>
    </row>
    <row r="617" spans="1:23" x14ac:dyDescent="0.25">
      <c r="A617" s="204">
        <v>7203454549</v>
      </c>
      <c r="B617" s="204">
        <v>7203175930</v>
      </c>
      <c r="C617" s="126" t="s">
        <v>287</v>
      </c>
      <c r="D617" s="5">
        <v>6234000600</v>
      </c>
      <c r="E617" s="156">
        <v>44621</v>
      </c>
      <c r="F617" s="155">
        <v>28795</v>
      </c>
      <c r="G617" s="10" t="s">
        <v>1</v>
      </c>
      <c r="H617" s="107"/>
      <c r="I617" s="98">
        <v>0</v>
      </c>
      <c r="J617" s="99">
        <v>26.02</v>
      </c>
      <c r="K617" s="3"/>
      <c r="L617" s="3"/>
      <c r="M617" s="6"/>
      <c r="N617" s="6"/>
      <c r="O617" s="99">
        <v>32250</v>
      </c>
      <c r="P617" s="99" t="s">
        <v>286</v>
      </c>
      <c r="Q617" s="99">
        <v>26.02</v>
      </c>
      <c r="R617" s="99">
        <v>26.02</v>
      </c>
      <c r="S617" t="s">
        <v>433</v>
      </c>
      <c r="T617">
        <f t="shared" si="36"/>
        <v>749245.9</v>
      </c>
      <c r="U617">
        <f t="shared" si="37"/>
        <v>3455</v>
      </c>
      <c r="V617">
        <f t="shared" si="38"/>
        <v>839145</v>
      </c>
      <c r="W617">
        <f t="shared" si="39"/>
        <v>89899.099999999977</v>
      </c>
    </row>
    <row r="618" spans="1:23" x14ac:dyDescent="0.25">
      <c r="A618" s="204">
        <v>7203454549</v>
      </c>
      <c r="B618" s="204">
        <v>7203175930</v>
      </c>
      <c r="C618" s="126" t="s">
        <v>287</v>
      </c>
      <c r="D618" s="5">
        <v>6234000600</v>
      </c>
      <c r="E618" s="156">
        <v>44621</v>
      </c>
      <c r="F618" s="155">
        <v>28795</v>
      </c>
      <c r="G618" s="10" t="s">
        <v>1</v>
      </c>
      <c r="H618" s="107"/>
      <c r="I618" s="98">
        <v>0</v>
      </c>
      <c r="J618" s="99">
        <v>24.54</v>
      </c>
      <c r="K618" s="3"/>
      <c r="L618" s="3"/>
      <c r="M618" s="6"/>
      <c r="N618" s="6"/>
      <c r="O618" s="99">
        <v>32250</v>
      </c>
      <c r="P618" s="99" t="s">
        <v>286</v>
      </c>
      <c r="Q618" s="99">
        <v>24.54</v>
      </c>
      <c r="R618" s="99">
        <v>24.54</v>
      </c>
      <c r="S618" t="s">
        <v>433</v>
      </c>
      <c r="T618">
        <f t="shared" si="36"/>
        <v>706629.29999999993</v>
      </c>
      <c r="U618">
        <f t="shared" si="37"/>
        <v>3455</v>
      </c>
      <c r="V618">
        <f t="shared" si="38"/>
        <v>791415</v>
      </c>
      <c r="W618">
        <f t="shared" si="39"/>
        <v>84785.70000000007</v>
      </c>
    </row>
    <row r="619" spans="1:23" x14ac:dyDescent="0.25">
      <c r="A619" s="204">
        <v>7203454549</v>
      </c>
      <c r="B619" s="204">
        <v>7203175930</v>
      </c>
      <c r="C619" s="126" t="s">
        <v>287</v>
      </c>
      <c r="D619" s="5">
        <v>6234000600</v>
      </c>
      <c r="E619" s="156">
        <v>44621</v>
      </c>
      <c r="F619" s="155">
        <v>28795</v>
      </c>
      <c r="G619" s="10" t="s">
        <v>1</v>
      </c>
      <c r="H619" s="107"/>
      <c r="I619" s="98">
        <v>0</v>
      </c>
      <c r="J619" s="99">
        <v>26.08</v>
      </c>
      <c r="K619" s="3"/>
      <c r="L619" s="3"/>
      <c r="M619" s="6"/>
      <c r="N619" s="6"/>
      <c r="O619" s="99">
        <v>32250</v>
      </c>
      <c r="P619" s="99" t="s">
        <v>286</v>
      </c>
      <c r="Q619" s="99">
        <v>26.08</v>
      </c>
      <c r="R619" s="99">
        <v>26.08</v>
      </c>
      <c r="S619" t="s">
        <v>433</v>
      </c>
      <c r="T619">
        <f t="shared" si="36"/>
        <v>750973.6</v>
      </c>
      <c r="U619">
        <f t="shared" si="37"/>
        <v>3455</v>
      </c>
      <c r="V619">
        <f t="shared" si="38"/>
        <v>841080</v>
      </c>
      <c r="W619">
        <f t="shared" si="39"/>
        <v>90106.400000000023</v>
      </c>
    </row>
    <row r="620" spans="1:23" x14ac:dyDescent="0.25">
      <c r="A620" s="204">
        <v>7203454549</v>
      </c>
      <c r="B620" s="204">
        <v>7203175930</v>
      </c>
      <c r="C620" s="126" t="s">
        <v>287</v>
      </c>
      <c r="D620" s="5">
        <v>6234000600</v>
      </c>
      <c r="E620" s="156">
        <v>44622</v>
      </c>
      <c r="F620" s="155">
        <v>28795</v>
      </c>
      <c r="G620" s="10" t="s">
        <v>1</v>
      </c>
      <c r="H620" s="107"/>
      <c r="I620" s="98">
        <v>0</v>
      </c>
      <c r="J620" s="99">
        <v>26.32</v>
      </c>
      <c r="K620" s="3"/>
      <c r="L620" s="3"/>
      <c r="M620" s="6"/>
      <c r="N620" s="6"/>
      <c r="O620" s="99">
        <v>32250</v>
      </c>
      <c r="P620" s="99" t="s">
        <v>286</v>
      </c>
      <c r="Q620" s="99">
        <v>26.32</v>
      </c>
      <c r="R620" s="99">
        <v>26.32</v>
      </c>
      <c r="S620" t="s">
        <v>433</v>
      </c>
      <c r="T620">
        <f t="shared" si="36"/>
        <v>757884.4</v>
      </c>
      <c r="U620">
        <f t="shared" si="37"/>
        <v>3455</v>
      </c>
      <c r="V620">
        <f t="shared" si="38"/>
        <v>848820</v>
      </c>
      <c r="W620">
        <f t="shared" si="39"/>
        <v>90935.599999999977</v>
      </c>
    </row>
    <row r="621" spans="1:23" x14ac:dyDescent="0.25">
      <c r="A621" s="204">
        <v>7203454549</v>
      </c>
      <c r="B621" s="204">
        <v>7203175930</v>
      </c>
      <c r="C621" s="126" t="s">
        <v>287</v>
      </c>
      <c r="D621" s="5">
        <v>6234000600</v>
      </c>
      <c r="E621" s="156">
        <v>44622</v>
      </c>
      <c r="F621" s="155">
        <v>28795</v>
      </c>
      <c r="G621" s="10" t="s">
        <v>1</v>
      </c>
      <c r="H621" s="107"/>
      <c r="I621" s="98">
        <v>0</v>
      </c>
      <c r="J621" s="99">
        <v>26.18</v>
      </c>
      <c r="K621" s="3"/>
      <c r="L621" s="3"/>
      <c r="M621" s="6"/>
      <c r="N621" s="6"/>
      <c r="O621" s="99">
        <v>32250</v>
      </c>
      <c r="P621" s="99" t="s">
        <v>286</v>
      </c>
      <c r="Q621" s="99">
        <v>26.18</v>
      </c>
      <c r="R621" s="99">
        <v>26.18</v>
      </c>
      <c r="S621" t="s">
        <v>433</v>
      </c>
      <c r="T621">
        <f t="shared" si="36"/>
        <v>753853.1</v>
      </c>
      <c r="U621">
        <f t="shared" si="37"/>
        <v>3455</v>
      </c>
      <c r="V621">
        <f t="shared" si="38"/>
        <v>844305</v>
      </c>
      <c r="W621">
        <f t="shared" si="39"/>
        <v>90451.900000000023</v>
      </c>
    </row>
    <row r="622" spans="1:23" x14ac:dyDescent="0.25">
      <c r="A622" s="204">
        <v>7203454549</v>
      </c>
      <c r="B622" s="204">
        <v>7203175930</v>
      </c>
      <c r="C622" s="126" t="s">
        <v>287</v>
      </c>
      <c r="D622" s="5">
        <v>6234000600</v>
      </c>
      <c r="E622" s="156">
        <v>44622</v>
      </c>
      <c r="F622" s="155">
        <v>28795</v>
      </c>
      <c r="G622" s="10" t="s">
        <v>1</v>
      </c>
      <c r="H622" s="107"/>
      <c r="I622" s="98">
        <v>0</v>
      </c>
      <c r="J622" s="99">
        <v>25.8</v>
      </c>
      <c r="K622" s="3"/>
      <c r="L622" s="3"/>
      <c r="M622" s="6"/>
      <c r="N622" s="6"/>
      <c r="O622" s="99">
        <v>32250</v>
      </c>
      <c r="P622" s="99" t="s">
        <v>286</v>
      </c>
      <c r="Q622" s="99">
        <v>25.8</v>
      </c>
      <c r="R622" s="99">
        <v>25.8</v>
      </c>
      <c r="S622" t="s">
        <v>433</v>
      </c>
      <c r="T622">
        <f t="shared" si="36"/>
        <v>742911</v>
      </c>
      <c r="U622">
        <f t="shared" si="37"/>
        <v>3455</v>
      </c>
      <c r="V622">
        <f t="shared" si="38"/>
        <v>832050</v>
      </c>
      <c r="W622">
        <f t="shared" si="39"/>
        <v>89139</v>
      </c>
    </row>
    <row r="623" spans="1:23" x14ac:dyDescent="0.25">
      <c r="A623" s="204">
        <v>7203454549</v>
      </c>
      <c r="B623" s="204">
        <v>7203175930</v>
      </c>
      <c r="C623" s="126" t="s">
        <v>287</v>
      </c>
      <c r="D623" s="5">
        <v>6234000600</v>
      </c>
      <c r="E623" s="156">
        <v>44623</v>
      </c>
      <c r="F623" s="155">
        <v>28795</v>
      </c>
      <c r="G623" s="10" t="s">
        <v>1</v>
      </c>
      <c r="H623" s="107"/>
      <c r="I623" s="98">
        <v>0</v>
      </c>
      <c r="J623" s="99">
        <v>23.26</v>
      </c>
      <c r="K623" s="3"/>
      <c r="L623" s="3"/>
      <c r="M623" s="6"/>
      <c r="N623" s="6"/>
      <c r="O623" s="99">
        <v>32250</v>
      </c>
      <c r="P623" s="99" t="s">
        <v>286</v>
      </c>
      <c r="Q623" s="99">
        <v>23.26</v>
      </c>
      <c r="R623" s="99">
        <v>23.26</v>
      </c>
      <c r="S623" t="s">
        <v>433</v>
      </c>
      <c r="T623">
        <f t="shared" si="36"/>
        <v>669771.70000000007</v>
      </c>
      <c r="U623">
        <f t="shared" si="37"/>
        <v>3455</v>
      </c>
      <c r="V623">
        <f t="shared" si="38"/>
        <v>750135</v>
      </c>
      <c r="W623">
        <f t="shared" si="39"/>
        <v>80363.29999999993</v>
      </c>
    </row>
    <row r="624" spans="1:23" x14ac:dyDescent="0.25">
      <c r="A624" s="204">
        <v>7203454549</v>
      </c>
      <c r="B624" s="204">
        <v>7203175930</v>
      </c>
      <c r="C624" s="126" t="s">
        <v>287</v>
      </c>
      <c r="D624" s="5">
        <v>6234000600</v>
      </c>
      <c r="E624" s="156">
        <v>44623</v>
      </c>
      <c r="F624" s="155">
        <v>28795</v>
      </c>
      <c r="G624" s="10" t="s">
        <v>1</v>
      </c>
      <c r="H624" s="107"/>
      <c r="I624" s="98">
        <v>0</v>
      </c>
      <c r="J624" s="99">
        <v>24.02</v>
      </c>
      <c r="K624" s="3"/>
      <c r="L624" s="3"/>
      <c r="M624" s="6"/>
      <c r="N624" s="6"/>
      <c r="O624" s="99">
        <v>32250</v>
      </c>
      <c r="P624" s="99" t="s">
        <v>286</v>
      </c>
      <c r="Q624" s="99">
        <v>24.02</v>
      </c>
      <c r="R624" s="99">
        <v>24.02</v>
      </c>
      <c r="S624" t="s">
        <v>433</v>
      </c>
      <c r="T624">
        <f t="shared" si="36"/>
        <v>691655.9</v>
      </c>
      <c r="U624">
        <f t="shared" si="37"/>
        <v>3455</v>
      </c>
      <c r="V624">
        <f t="shared" si="38"/>
        <v>774645</v>
      </c>
      <c r="W624">
        <f t="shared" si="39"/>
        <v>82989.099999999977</v>
      </c>
    </row>
    <row r="625" spans="1:23" x14ac:dyDescent="0.25">
      <c r="A625" s="204">
        <v>7203454549</v>
      </c>
      <c r="B625" s="204">
        <v>7203175930</v>
      </c>
      <c r="C625" s="126" t="s">
        <v>287</v>
      </c>
      <c r="D625" s="5">
        <v>6234000600</v>
      </c>
      <c r="E625" s="156">
        <v>44623</v>
      </c>
      <c r="F625" s="155">
        <v>28795</v>
      </c>
      <c r="G625" s="10" t="s">
        <v>1</v>
      </c>
      <c r="H625" s="107"/>
      <c r="I625" s="98">
        <v>0</v>
      </c>
      <c r="J625" s="99">
        <v>23.96</v>
      </c>
      <c r="K625" s="3"/>
      <c r="L625" s="3"/>
      <c r="M625" s="6"/>
      <c r="N625" s="6"/>
      <c r="O625" s="99">
        <v>32250</v>
      </c>
      <c r="P625" s="99" t="s">
        <v>286</v>
      </c>
      <c r="Q625" s="99">
        <v>23.96</v>
      </c>
      <c r="R625" s="99">
        <v>23.96</v>
      </c>
      <c r="S625" t="s">
        <v>433</v>
      </c>
      <c r="T625">
        <f t="shared" si="36"/>
        <v>689928.20000000007</v>
      </c>
      <c r="U625">
        <f t="shared" si="37"/>
        <v>3455</v>
      </c>
      <c r="V625">
        <f t="shared" si="38"/>
        <v>772710</v>
      </c>
      <c r="W625">
        <f t="shared" si="39"/>
        <v>82781.79999999993</v>
      </c>
    </row>
    <row r="626" spans="1:23" x14ac:dyDescent="0.25">
      <c r="A626" s="204">
        <v>7203454549</v>
      </c>
      <c r="B626" s="204">
        <v>7203175930</v>
      </c>
      <c r="C626" s="126" t="s">
        <v>287</v>
      </c>
      <c r="D626" s="5">
        <v>6234000600</v>
      </c>
      <c r="E626" s="156">
        <v>44623</v>
      </c>
      <c r="F626" s="155">
        <v>28795</v>
      </c>
      <c r="G626" s="10" t="s">
        <v>1</v>
      </c>
      <c r="H626" s="107"/>
      <c r="I626" s="98">
        <v>0</v>
      </c>
      <c r="J626" s="99">
        <v>26.58</v>
      </c>
      <c r="K626" s="3"/>
      <c r="L626" s="3"/>
      <c r="M626" s="6"/>
      <c r="N626" s="6"/>
      <c r="O626" s="99">
        <v>32250</v>
      </c>
      <c r="P626" s="99" t="s">
        <v>286</v>
      </c>
      <c r="Q626" s="99">
        <v>26.58</v>
      </c>
      <c r="R626" s="99">
        <v>26.58</v>
      </c>
      <c r="S626" t="s">
        <v>433</v>
      </c>
      <c r="T626">
        <f t="shared" si="36"/>
        <v>765371.1</v>
      </c>
      <c r="U626">
        <f t="shared" si="37"/>
        <v>3455</v>
      </c>
      <c r="V626">
        <f t="shared" si="38"/>
        <v>857205</v>
      </c>
      <c r="W626">
        <f t="shared" si="39"/>
        <v>91833.900000000023</v>
      </c>
    </row>
    <row r="627" spans="1:23" x14ac:dyDescent="0.25">
      <c r="A627" s="204">
        <v>7203454549</v>
      </c>
      <c r="B627" s="204">
        <v>7203175930</v>
      </c>
      <c r="C627" s="126" t="s">
        <v>287</v>
      </c>
      <c r="D627" s="5">
        <v>6234000600</v>
      </c>
      <c r="E627" s="156">
        <v>44623</v>
      </c>
      <c r="F627" s="155">
        <v>28795</v>
      </c>
      <c r="G627" s="10" t="s">
        <v>1</v>
      </c>
      <c r="H627" s="107"/>
      <c r="I627" s="98">
        <v>0</v>
      </c>
      <c r="J627" s="99">
        <v>26.32</v>
      </c>
      <c r="K627" s="3"/>
      <c r="L627" s="3"/>
      <c r="M627" s="6"/>
      <c r="N627" s="6"/>
      <c r="O627" s="99">
        <v>32250</v>
      </c>
      <c r="P627" s="99" t="s">
        <v>286</v>
      </c>
      <c r="Q627" s="99">
        <v>26.32</v>
      </c>
      <c r="R627" s="99">
        <v>26.32</v>
      </c>
      <c r="S627" t="s">
        <v>433</v>
      </c>
      <c r="T627">
        <f t="shared" si="36"/>
        <v>757884.4</v>
      </c>
      <c r="U627">
        <f t="shared" si="37"/>
        <v>3455</v>
      </c>
      <c r="V627">
        <f t="shared" si="38"/>
        <v>848820</v>
      </c>
      <c r="W627">
        <f t="shared" si="39"/>
        <v>90935.599999999977</v>
      </c>
    </row>
    <row r="628" spans="1:23" x14ac:dyDescent="0.25">
      <c r="A628" s="204">
        <v>7203454549</v>
      </c>
      <c r="B628" s="204">
        <v>7203175930</v>
      </c>
      <c r="C628" s="126" t="s">
        <v>287</v>
      </c>
      <c r="D628" s="5">
        <v>6234000600</v>
      </c>
      <c r="E628" s="156">
        <v>44623</v>
      </c>
      <c r="F628" s="155">
        <v>28795</v>
      </c>
      <c r="G628" s="10" t="s">
        <v>1</v>
      </c>
      <c r="H628" s="107"/>
      <c r="I628" s="98">
        <v>0</v>
      </c>
      <c r="J628" s="99">
        <v>26</v>
      </c>
      <c r="K628" s="3"/>
      <c r="L628" s="3"/>
      <c r="M628" s="6"/>
      <c r="N628" s="6"/>
      <c r="O628" s="99">
        <v>32250</v>
      </c>
      <c r="P628" s="99" t="s">
        <v>286</v>
      </c>
      <c r="Q628" s="99">
        <v>26</v>
      </c>
      <c r="R628" s="99">
        <v>26</v>
      </c>
      <c r="S628" t="s">
        <v>433</v>
      </c>
      <c r="T628">
        <f t="shared" si="36"/>
        <v>748670</v>
      </c>
      <c r="U628">
        <f t="shared" si="37"/>
        <v>3455</v>
      </c>
      <c r="V628">
        <f t="shared" si="38"/>
        <v>838500</v>
      </c>
      <c r="W628">
        <f t="shared" si="39"/>
        <v>89830</v>
      </c>
    </row>
    <row r="629" spans="1:23" x14ac:dyDescent="0.25">
      <c r="A629" s="204">
        <v>7203454549</v>
      </c>
      <c r="B629" s="204">
        <v>7203175930</v>
      </c>
      <c r="C629" s="126" t="s">
        <v>287</v>
      </c>
      <c r="D629" s="5">
        <v>6234000600</v>
      </c>
      <c r="E629" s="156">
        <v>44624</v>
      </c>
      <c r="F629" s="155">
        <v>28795</v>
      </c>
      <c r="G629" s="10" t="s">
        <v>1</v>
      </c>
      <c r="H629" s="107"/>
      <c r="I629" s="98">
        <v>0</v>
      </c>
      <c r="J629" s="99">
        <v>26.64</v>
      </c>
      <c r="K629" s="3"/>
      <c r="L629" s="3"/>
      <c r="M629" s="6"/>
      <c r="N629" s="6"/>
      <c r="O629" s="99">
        <v>32250</v>
      </c>
      <c r="P629" s="99" t="s">
        <v>286</v>
      </c>
      <c r="Q629" s="99">
        <v>26.64</v>
      </c>
      <c r="R629" s="99">
        <v>26.64</v>
      </c>
      <c r="S629" t="s">
        <v>433</v>
      </c>
      <c r="T629">
        <f t="shared" si="36"/>
        <v>767098.8</v>
      </c>
      <c r="U629">
        <f t="shared" si="37"/>
        <v>3455</v>
      </c>
      <c r="V629">
        <f t="shared" si="38"/>
        <v>859140</v>
      </c>
      <c r="W629">
        <f t="shared" si="39"/>
        <v>92041.199999999953</v>
      </c>
    </row>
    <row r="630" spans="1:23" x14ac:dyDescent="0.25">
      <c r="A630" s="204">
        <v>7203454549</v>
      </c>
      <c r="B630" s="204">
        <v>7203175930</v>
      </c>
      <c r="C630" s="126" t="s">
        <v>287</v>
      </c>
      <c r="D630" s="5">
        <v>6234000600</v>
      </c>
      <c r="E630" s="156">
        <v>44624</v>
      </c>
      <c r="F630" s="155">
        <v>28795</v>
      </c>
      <c r="G630" s="10" t="s">
        <v>1</v>
      </c>
      <c r="H630" s="107"/>
      <c r="I630" s="98">
        <v>0</v>
      </c>
      <c r="J630" s="99">
        <v>24.8</v>
      </c>
      <c r="K630" s="3"/>
      <c r="L630" s="3"/>
      <c r="M630" s="6"/>
      <c r="N630" s="6"/>
      <c r="O630" s="99">
        <v>32250</v>
      </c>
      <c r="P630" s="99" t="s">
        <v>286</v>
      </c>
      <c r="Q630" s="99">
        <v>24.8</v>
      </c>
      <c r="R630" s="99">
        <v>24.8</v>
      </c>
      <c r="S630" t="s">
        <v>433</v>
      </c>
      <c r="T630">
        <f t="shared" si="36"/>
        <v>714116</v>
      </c>
      <c r="U630">
        <f t="shared" si="37"/>
        <v>3455</v>
      </c>
      <c r="V630">
        <f t="shared" si="38"/>
        <v>799800</v>
      </c>
      <c r="W630">
        <f t="shared" si="39"/>
        <v>85684</v>
      </c>
    </row>
    <row r="631" spans="1:23" x14ac:dyDescent="0.25">
      <c r="A631" s="204">
        <v>7203454549</v>
      </c>
      <c r="B631" s="204">
        <v>7203175930</v>
      </c>
      <c r="C631" s="126" t="s">
        <v>287</v>
      </c>
      <c r="D631" s="5">
        <v>6234000600</v>
      </c>
      <c r="E631" s="156">
        <v>44624</v>
      </c>
      <c r="F631" s="155">
        <v>28795</v>
      </c>
      <c r="G631" s="10" t="s">
        <v>1</v>
      </c>
      <c r="H631" s="107"/>
      <c r="I631" s="98">
        <v>0</v>
      </c>
      <c r="J631" s="99">
        <v>24.4</v>
      </c>
      <c r="K631" s="3"/>
      <c r="L631" s="3"/>
      <c r="M631" s="6"/>
      <c r="N631" s="6"/>
      <c r="O631" s="99">
        <v>32250</v>
      </c>
      <c r="P631" s="99" t="s">
        <v>286</v>
      </c>
      <c r="Q631" s="99">
        <v>24.4</v>
      </c>
      <c r="R631" s="99">
        <v>24.4</v>
      </c>
      <c r="S631" t="s">
        <v>433</v>
      </c>
      <c r="T631">
        <f t="shared" si="36"/>
        <v>702598</v>
      </c>
      <c r="U631">
        <f t="shared" si="37"/>
        <v>3455</v>
      </c>
      <c r="V631">
        <f t="shared" si="38"/>
        <v>786900</v>
      </c>
      <c r="W631">
        <f t="shared" si="39"/>
        <v>84302</v>
      </c>
    </row>
    <row r="632" spans="1:23" x14ac:dyDescent="0.25">
      <c r="A632" s="204">
        <v>7203454549</v>
      </c>
      <c r="B632" s="204">
        <v>7203175930</v>
      </c>
      <c r="C632" s="126" t="s">
        <v>287</v>
      </c>
      <c r="D632" s="5">
        <v>6234000600</v>
      </c>
      <c r="E632" s="156">
        <v>44624</v>
      </c>
      <c r="F632" s="155">
        <v>28795</v>
      </c>
      <c r="G632" s="10" t="s">
        <v>1</v>
      </c>
      <c r="H632" s="107"/>
      <c r="I632" s="98">
        <v>0</v>
      </c>
      <c r="J632" s="99">
        <v>24.54</v>
      </c>
      <c r="K632" s="3"/>
      <c r="L632" s="3"/>
      <c r="M632" s="6"/>
      <c r="N632" s="6"/>
      <c r="O632" s="99">
        <v>32250</v>
      </c>
      <c r="P632" s="99" t="s">
        <v>286</v>
      </c>
      <c r="Q632" s="99">
        <v>24.54</v>
      </c>
      <c r="R632" s="99">
        <v>24.54</v>
      </c>
      <c r="S632" t="s">
        <v>433</v>
      </c>
      <c r="T632">
        <f t="shared" si="36"/>
        <v>706629.29999999993</v>
      </c>
      <c r="U632">
        <f t="shared" si="37"/>
        <v>3455</v>
      </c>
      <c r="V632">
        <f t="shared" si="38"/>
        <v>791415</v>
      </c>
      <c r="W632">
        <f t="shared" si="39"/>
        <v>84785.70000000007</v>
      </c>
    </row>
    <row r="633" spans="1:23" x14ac:dyDescent="0.25">
      <c r="A633" s="204">
        <v>7203454549</v>
      </c>
      <c r="B633" s="204">
        <v>7203175930</v>
      </c>
      <c r="C633" s="126" t="s">
        <v>287</v>
      </c>
      <c r="D633" s="5">
        <v>6234000600</v>
      </c>
      <c r="E633" s="156">
        <v>44624</v>
      </c>
      <c r="F633" s="155">
        <v>28795</v>
      </c>
      <c r="G633" s="10" t="s">
        <v>1</v>
      </c>
      <c r="H633" s="107"/>
      <c r="I633" s="98">
        <v>0</v>
      </c>
      <c r="J633" s="99">
        <v>23.74</v>
      </c>
      <c r="K633" s="3"/>
      <c r="L633" s="3"/>
      <c r="M633" s="6"/>
      <c r="N633" s="6"/>
      <c r="O633" s="99">
        <v>32250</v>
      </c>
      <c r="P633" s="99" t="s">
        <v>286</v>
      </c>
      <c r="Q633" s="99">
        <v>23.74</v>
      </c>
      <c r="R633" s="99">
        <v>23.74</v>
      </c>
      <c r="S633" t="s">
        <v>433</v>
      </c>
      <c r="T633">
        <f t="shared" si="36"/>
        <v>683593.29999999993</v>
      </c>
      <c r="U633">
        <f t="shared" si="37"/>
        <v>3455</v>
      </c>
      <c r="V633">
        <f t="shared" si="38"/>
        <v>765615</v>
      </c>
      <c r="W633">
        <f t="shared" si="39"/>
        <v>82021.70000000007</v>
      </c>
    </row>
    <row r="634" spans="1:23" x14ac:dyDescent="0.25">
      <c r="A634" s="204">
        <v>7203454549</v>
      </c>
      <c r="B634" s="204">
        <v>7203175930</v>
      </c>
      <c r="C634" s="126" t="s">
        <v>287</v>
      </c>
      <c r="D634" s="5">
        <v>6234000600</v>
      </c>
      <c r="E634" s="156">
        <v>44624</v>
      </c>
      <c r="F634" s="155">
        <v>28795</v>
      </c>
      <c r="G634" s="10" t="s">
        <v>1</v>
      </c>
      <c r="H634" s="107"/>
      <c r="I634" s="98">
        <v>0</v>
      </c>
      <c r="J634" s="99">
        <v>26.7</v>
      </c>
      <c r="K634" s="3"/>
      <c r="L634" s="3"/>
      <c r="M634" s="6"/>
      <c r="N634" s="6"/>
      <c r="O634" s="99">
        <v>32250</v>
      </c>
      <c r="P634" s="99" t="s">
        <v>286</v>
      </c>
      <c r="Q634" s="99">
        <v>26.7</v>
      </c>
      <c r="R634" s="99">
        <v>26.7</v>
      </c>
      <c r="S634" t="s">
        <v>433</v>
      </c>
      <c r="T634">
        <f t="shared" si="36"/>
        <v>768826.5</v>
      </c>
      <c r="U634">
        <f t="shared" si="37"/>
        <v>3455</v>
      </c>
      <c r="V634">
        <f t="shared" si="38"/>
        <v>861075</v>
      </c>
      <c r="W634">
        <f t="shared" si="39"/>
        <v>92248.5</v>
      </c>
    </row>
    <row r="635" spans="1:23" x14ac:dyDescent="0.25">
      <c r="A635" s="204">
        <v>7203454549</v>
      </c>
      <c r="B635" s="204">
        <v>7203175930</v>
      </c>
      <c r="C635" s="126" t="s">
        <v>287</v>
      </c>
      <c r="D635" s="5">
        <v>6234000600</v>
      </c>
      <c r="E635" s="156">
        <v>44624</v>
      </c>
      <c r="F635" s="155">
        <v>28795</v>
      </c>
      <c r="G635" s="10" t="s">
        <v>1</v>
      </c>
      <c r="H635" s="107"/>
      <c r="I635" s="98">
        <v>0</v>
      </c>
      <c r="J635" s="99">
        <v>23.82</v>
      </c>
      <c r="K635" s="3"/>
      <c r="L635" s="3"/>
      <c r="M635" s="6"/>
      <c r="N635" s="6"/>
      <c r="O635" s="99">
        <v>32250</v>
      </c>
      <c r="P635" s="99" t="s">
        <v>286</v>
      </c>
      <c r="Q635" s="99">
        <v>23.82</v>
      </c>
      <c r="R635" s="99">
        <v>23.82</v>
      </c>
      <c r="S635" t="s">
        <v>433</v>
      </c>
      <c r="T635">
        <f t="shared" si="36"/>
        <v>685896.9</v>
      </c>
      <c r="U635">
        <f t="shared" si="37"/>
        <v>3455</v>
      </c>
      <c r="V635">
        <f t="shared" si="38"/>
        <v>768195</v>
      </c>
      <c r="W635">
        <f t="shared" si="39"/>
        <v>82298.099999999977</v>
      </c>
    </row>
    <row r="636" spans="1:23" x14ac:dyDescent="0.25">
      <c r="A636" s="204">
        <v>7203454549</v>
      </c>
      <c r="B636" s="204">
        <v>7203175930</v>
      </c>
      <c r="C636" s="126" t="s">
        <v>287</v>
      </c>
      <c r="D636" s="5">
        <v>6234000600</v>
      </c>
      <c r="E636" s="156">
        <v>44624</v>
      </c>
      <c r="F636" s="155">
        <v>28795</v>
      </c>
      <c r="G636" s="10" t="s">
        <v>1</v>
      </c>
      <c r="H636" s="107"/>
      <c r="I636" s="98">
        <v>0</v>
      </c>
      <c r="J636" s="99">
        <v>24.8</v>
      </c>
      <c r="K636" s="3"/>
      <c r="L636" s="3"/>
      <c r="M636" s="6"/>
      <c r="N636" s="6"/>
      <c r="O636" s="99">
        <v>32250</v>
      </c>
      <c r="P636" s="99" t="s">
        <v>286</v>
      </c>
      <c r="Q636" s="99">
        <v>24.8</v>
      </c>
      <c r="R636" s="99">
        <v>24.8</v>
      </c>
      <c r="S636" t="s">
        <v>433</v>
      </c>
      <c r="T636">
        <f t="shared" si="36"/>
        <v>714116</v>
      </c>
      <c r="U636">
        <f t="shared" si="37"/>
        <v>3455</v>
      </c>
      <c r="V636">
        <f t="shared" si="38"/>
        <v>799800</v>
      </c>
      <c r="W636">
        <f t="shared" si="39"/>
        <v>85684</v>
      </c>
    </row>
    <row r="637" spans="1:23" x14ac:dyDescent="0.25">
      <c r="A637" s="204">
        <v>7203454549</v>
      </c>
      <c r="B637" s="204">
        <v>7203175930</v>
      </c>
      <c r="C637" s="126" t="s">
        <v>287</v>
      </c>
      <c r="D637" s="5">
        <v>6234000600</v>
      </c>
      <c r="E637" s="156">
        <v>44624</v>
      </c>
      <c r="F637" s="155">
        <v>28795</v>
      </c>
      <c r="G637" s="10" t="s">
        <v>1</v>
      </c>
      <c r="H637" s="107"/>
      <c r="I637" s="98">
        <v>0</v>
      </c>
      <c r="J637" s="99">
        <v>25.88</v>
      </c>
      <c r="K637" s="3"/>
      <c r="L637" s="3"/>
      <c r="M637" s="6"/>
      <c r="N637" s="6"/>
      <c r="O637" s="99">
        <v>32250</v>
      </c>
      <c r="P637" s="99" t="s">
        <v>286</v>
      </c>
      <c r="Q637" s="99">
        <v>25.88</v>
      </c>
      <c r="R637" s="99">
        <v>25.88</v>
      </c>
      <c r="S637" t="s">
        <v>433</v>
      </c>
      <c r="T637">
        <f t="shared" si="36"/>
        <v>745214.6</v>
      </c>
      <c r="U637">
        <f t="shared" si="37"/>
        <v>3455</v>
      </c>
      <c r="V637">
        <f t="shared" si="38"/>
        <v>834630</v>
      </c>
      <c r="W637">
        <f t="shared" si="39"/>
        <v>89415.400000000023</v>
      </c>
    </row>
    <row r="638" spans="1:23" x14ac:dyDescent="0.25">
      <c r="A638" s="204">
        <v>7203454549</v>
      </c>
      <c r="B638" s="204">
        <v>7203175930</v>
      </c>
      <c r="C638" s="126" t="s">
        <v>287</v>
      </c>
      <c r="D638" s="5">
        <v>6234000600</v>
      </c>
      <c r="E638" s="156">
        <v>44625</v>
      </c>
      <c r="F638" s="155">
        <v>27100</v>
      </c>
      <c r="G638" s="10" t="s">
        <v>421</v>
      </c>
      <c r="H638" s="204">
        <v>5501132737</v>
      </c>
      <c r="I638" s="98">
        <v>1600</v>
      </c>
      <c r="J638" s="99">
        <v>24.18</v>
      </c>
      <c r="K638" s="3" t="s">
        <v>291</v>
      </c>
      <c r="L638" s="3"/>
      <c r="M638" s="6"/>
      <c r="N638" s="6"/>
      <c r="O638" s="99">
        <v>32250</v>
      </c>
      <c r="P638" s="99" t="s">
        <v>286</v>
      </c>
      <c r="Q638" s="99">
        <v>24.18</v>
      </c>
      <c r="R638" s="99">
        <v>24.18</v>
      </c>
      <c r="S638" t="s">
        <v>433</v>
      </c>
      <c r="T638">
        <f t="shared" si="36"/>
        <v>693966</v>
      </c>
      <c r="U638">
        <f t="shared" si="37"/>
        <v>3550</v>
      </c>
      <c r="V638">
        <f t="shared" si="38"/>
        <v>779805</v>
      </c>
      <c r="W638">
        <f t="shared" si="39"/>
        <v>85839</v>
      </c>
    </row>
    <row r="639" spans="1:23" x14ac:dyDescent="0.25">
      <c r="A639" s="204">
        <v>7203454549</v>
      </c>
      <c r="B639" s="204">
        <v>7203175930</v>
      </c>
      <c r="C639" s="126" t="s">
        <v>287</v>
      </c>
      <c r="D639" s="5">
        <v>6234000600</v>
      </c>
      <c r="E639" s="156" t="s">
        <v>283</v>
      </c>
      <c r="F639" s="155">
        <v>28795</v>
      </c>
      <c r="G639" s="10" t="s">
        <v>1</v>
      </c>
      <c r="H639" s="107"/>
      <c r="I639" s="98">
        <v>0</v>
      </c>
      <c r="J639" s="99">
        <v>26.58</v>
      </c>
      <c r="K639" s="3"/>
      <c r="L639" s="3"/>
      <c r="M639" s="6"/>
      <c r="N639" s="6"/>
      <c r="O639" s="99">
        <v>32250</v>
      </c>
      <c r="P639" s="99" t="s">
        <v>286</v>
      </c>
      <c r="Q639" s="99">
        <v>26.58</v>
      </c>
      <c r="R639" s="99">
        <v>26.58</v>
      </c>
      <c r="S639" t="s">
        <v>433</v>
      </c>
      <c r="T639">
        <f t="shared" si="36"/>
        <v>765371.1</v>
      </c>
      <c r="U639">
        <f t="shared" si="37"/>
        <v>3455</v>
      </c>
      <c r="V639">
        <f t="shared" si="38"/>
        <v>857205</v>
      </c>
      <c r="W639">
        <f t="shared" si="39"/>
        <v>91833.900000000023</v>
      </c>
    </row>
    <row r="640" spans="1:23" x14ac:dyDescent="0.25">
      <c r="A640" s="204">
        <v>7203454549</v>
      </c>
      <c r="B640" s="204">
        <v>7203175930</v>
      </c>
      <c r="C640" s="126" t="s">
        <v>287</v>
      </c>
      <c r="D640" s="5">
        <v>6234000600</v>
      </c>
      <c r="E640" s="156" t="s">
        <v>283</v>
      </c>
      <c r="F640" s="155">
        <v>28795</v>
      </c>
      <c r="G640" s="10" t="s">
        <v>1</v>
      </c>
      <c r="H640" s="107"/>
      <c r="I640" s="98">
        <v>0</v>
      </c>
      <c r="J640" s="99">
        <v>26.42</v>
      </c>
      <c r="K640" s="3"/>
      <c r="L640" s="3"/>
      <c r="M640" s="6"/>
      <c r="N640" s="6"/>
      <c r="O640" s="99">
        <v>32250</v>
      </c>
      <c r="P640" s="99" t="s">
        <v>286</v>
      </c>
      <c r="Q640" s="99">
        <v>26.42</v>
      </c>
      <c r="R640" s="99">
        <v>26.42</v>
      </c>
      <c r="S640" t="s">
        <v>433</v>
      </c>
      <c r="T640">
        <f t="shared" si="36"/>
        <v>760763.9</v>
      </c>
      <c r="U640">
        <f t="shared" si="37"/>
        <v>3455</v>
      </c>
      <c r="V640">
        <f t="shared" si="38"/>
        <v>852045</v>
      </c>
      <c r="W640">
        <f t="shared" si="39"/>
        <v>91281.099999999977</v>
      </c>
    </row>
    <row r="641" spans="1:23" x14ac:dyDescent="0.25">
      <c r="A641" s="204">
        <v>7203454549</v>
      </c>
      <c r="B641" s="204">
        <v>7203175930</v>
      </c>
      <c r="C641" s="126" t="s">
        <v>287</v>
      </c>
      <c r="D641" s="5">
        <v>6234000600</v>
      </c>
      <c r="E641" s="156" t="s">
        <v>283</v>
      </c>
      <c r="F641" s="155">
        <v>28795</v>
      </c>
      <c r="G641" s="10" t="s">
        <v>1</v>
      </c>
      <c r="H641" s="107"/>
      <c r="I641" s="98">
        <v>0</v>
      </c>
      <c r="J641" s="99">
        <v>26.26</v>
      </c>
      <c r="K641" s="3"/>
      <c r="L641" s="3"/>
      <c r="M641" s="6"/>
      <c r="N641" s="6"/>
      <c r="O641" s="99">
        <v>32250</v>
      </c>
      <c r="P641" s="99" t="s">
        <v>286</v>
      </c>
      <c r="Q641" s="99">
        <v>26.26</v>
      </c>
      <c r="R641" s="99">
        <v>26.26</v>
      </c>
      <c r="S641" t="s">
        <v>433</v>
      </c>
      <c r="T641">
        <f t="shared" si="36"/>
        <v>756156.70000000007</v>
      </c>
      <c r="U641">
        <f t="shared" si="37"/>
        <v>3455</v>
      </c>
      <c r="V641">
        <f t="shared" si="38"/>
        <v>846885</v>
      </c>
      <c r="W641">
        <f t="shared" si="39"/>
        <v>90728.29999999993</v>
      </c>
    </row>
    <row r="642" spans="1:23" x14ac:dyDescent="0.25">
      <c r="A642" s="204">
        <v>7203454549</v>
      </c>
      <c r="B642" s="204">
        <v>7203175930</v>
      </c>
      <c r="C642" s="126" t="s">
        <v>287</v>
      </c>
      <c r="D642" s="5">
        <v>6234000600</v>
      </c>
      <c r="E642" s="156" t="s">
        <v>283</v>
      </c>
      <c r="F642" s="155">
        <v>28795</v>
      </c>
      <c r="G642" s="10" t="s">
        <v>1</v>
      </c>
      <c r="H642" s="107"/>
      <c r="I642" s="98">
        <v>0</v>
      </c>
      <c r="J642" s="99">
        <v>26.06</v>
      </c>
      <c r="K642" s="3"/>
      <c r="L642" s="3"/>
      <c r="M642" s="6"/>
      <c r="N642" s="6"/>
      <c r="O642" s="99">
        <v>32250</v>
      </c>
      <c r="P642" s="99" t="s">
        <v>286</v>
      </c>
      <c r="Q642" s="99">
        <v>26.06</v>
      </c>
      <c r="R642" s="99">
        <v>26.06</v>
      </c>
      <c r="S642" t="s">
        <v>433</v>
      </c>
      <c r="T642">
        <f t="shared" si="36"/>
        <v>750397.7</v>
      </c>
      <c r="U642">
        <f t="shared" si="37"/>
        <v>3455</v>
      </c>
      <c r="V642">
        <f t="shared" si="38"/>
        <v>840435</v>
      </c>
      <c r="W642">
        <f t="shared" si="39"/>
        <v>90037.300000000047</v>
      </c>
    </row>
    <row r="643" spans="1:23" x14ac:dyDescent="0.25">
      <c r="A643" s="204">
        <v>7203454549</v>
      </c>
      <c r="B643" s="204">
        <v>7203175930</v>
      </c>
      <c r="C643" s="126" t="s">
        <v>287</v>
      </c>
      <c r="D643" s="5">
        <v>6234000600</v>
      </c>
      <c r="E643" s="156" t="s">
        <v>283</v>
      </c>
      <c r="F643" s="155">
        <v>28795</v>
      </c>
      <c r="G643" s="10" t="s">
        <v>1</v>
      </c>
      <c r="H643" s="107"/>
      <c r="I643" s="98">
        <v>0</v>
      </c>
      <c r="J643" s="99">
        <v>24.14</v>
      </c>
      <c r="K643" s="3"/>
      <c r="L643" s="3"/>
      <c r="M643" s="6"/>
      <c r="N643" s="6"/>
      <c r="O643" s="99">
        <v>32250</v>
      </c>
      <c r="P643" s="99" t="s">
        <v>286</v>
      </c>
      <c r="Q643" s="99">
        <v>24.14</v>
      </c>
      <c r="R643" s="99">
        <v>24.14</v>
      </c>
      <c r="S643" t="s">
        <v>433</v>
      </c>
      <c r="T643">
        <f t="shared" ref="T643:T706" si="40">(I643+F643)*J643</f>
        <v>695111.3</v>
      </c>
      <c r="U643">
        <f t="shared" ref="U643:U706" si="41">O643-(F643+I643)</f>
        <v>3455</v>
      </c>
      <c r="V643">
        <f t="shared" ref="V643:V706" si="42">O643*J643</f>
        <v>778515</v>
      </c>
      <c r="W643">
        <f t="shared" ref="W643:W706" si="43">V643-T643</f>
        <v>83403.699999999953</v>
      </c>
    </row>
    <row r="644" spans="1:23" x14ac:dyDescent="0.25">
      <c r="A644" s="204">
        <v>7203454549</v>
      </c>
      <c r="B644" s="204">
        <v>7203175930</v>
      </c>
      <c r="C644" s="126" t="s">
        <v>287</v>
      </c>
      <c r="D644" s="5">
        <v>6234000600</v>
      </c>
      <c r="E644" s="156" t="s">
        <v>283</v>
      </c>
      <c r="F644" s="155">
        <v>28795</v>
      </c>
      <c r="G644" s="10" t="s">
        <v>1</v>
      </c>
      <c r="H644" s="107"/>
      <c r="I644" s="98">
        <v>0</v>
      </c>
      <c r="J644" s="99">
        <v>23.76</v>
      </c>
      <c r="K644" s="3"/>
      <c r="L644" s="3"/>
      <c r="M644" s="6"/>
      <c r="N644" s="6"/>
      <c r="O644" s="99">
        <v>32250</v>
      </c>
      <c r="P644" s="99" t="s">
        <v>286</v>
      </c>
      <c r="Q644" s="99">
        <v>23.76</v>
      </c>
      <c r="R644" s="99">
        <v>23.76</v>
      </c>
      <c r="S644" t="s">
        <v>433</v>
      </c>
      <c r="T644">
        <f t="shared" si="40"/>
        <v>684169.20000000007</v>
      </c>
      <c r="U644">
        <f t="shared" si="41"/>
        <v>3455</v>
      </c>
      <c r="V644">
        <f t="shared" si="42"/>
        <v>766260</v>
      </c>
      <c r="W644">
        <f t="shared" si="43"/>
        <v>82090.79999999993</v>
      </c>
    </row>
    <row r="645" spans="1:23" x14ac:dyDescent="0.25">
      <c r="A645" s="204">
        <v>7203454549</v>
      </c>
      <c r="B645" s="204">
        <v>7203175930</v>
      </c>
      <c r="C645" s="126" t="s">
        <v>287</v>
      </c>
      <c r="D645" s="5">
        <v>6234000600</v>
      </c>
      <c r="E645" s="156" t="s">
        <v>284</v>
      </c>
      <c r="F645" s="155">
        <v>28795</v>
      </c>
      <c r="G645" s="10" t="s">
        <v>1</v>
      </c>
      <c r="H645" s="107"/>
      <c r="I645" s="98">
        <v>0</v>
      </c>
      <c r="J645" s="99">
        <v>26.54</v>
      </c>
      <c r="K645" s="3"/>
      <c r="L645" s="3"/>
      <c r="M645" s="6"/>
      <c r="N645" s="6"/>
      <c r="O645" s="99">
        <v>32250</v>
      </c>
      <c r="P645" s="99" t="s">
        <v>286</v>
      </c>
      <c r="Q645" s="99">
        <v>26.54</v>
      </c>
      <c r="R645" s="99">
        <v>26.54</v>
      </c>
      <c r="S645" t="s">
        <v>433</v>
      </c>
      <c r="T645">
        <f t="shared" si="40"/>
        <v>764219.29999999993</v>
      </c>
      <c r="U645">
        <f t="shared" si="41"/>
        <v>3455</v>
      </c>
      <c r="V645">
        <f t="shared" si="42"/>
        <v>855915</v>
      </c>
      <c r="W645">
        <f t="shared" si="43"/>
        <v>91695.70000000007</v>
      </c>
    </row>
    <row r="646" spans="1:23" x14ac:dyDescent="0.25">
      <c r="A646" s="204">
        <v>7203454549</v>
      </c>
      <c r="B646" s="204">
        <v>7203175930</v>
      </c>
      <c r="C646" s="126" t="s">
        <v>287</v>
      </c>
      <c r="D646" s="5">
        <v>6234000600</v>
      </c>
      <c r="E646" s="156" t="s">
        <v>285</v>
      </c>
      <c r="F646" s="155">
        <v>28795</v>
      </c>
      <c r="G646" s="10" t="s">
        <v>1</v>
      </c>
      <c r="H646" s="107"/>
      <c r="I646" s="98">
        <v>0</v>
      </c>
      <c r="J646" s="99">
        <v>24.52</v>
      </c>
      <c r="K646" s="3"/>
      <c r="L646" s="3"/>
      <c r="M646" s="6"/>
      <c r="N646" s="6"/>
      <c r="O646" s="99">
        <v>32250</v>
      </c>
      <c r="P646" s="99" t="s">
        <v>286</v>
      </c>
      <c r="Q646" s="99">
        <v>24.52</v>
      </c>
      <c r="R646" s="99">
        <v>24.52</v>
      </c>
      <c r="S646" t="s">
        <v>433</v>
      </c>
      <c r="T646">
        <f t="shared" si="40"/>
        <v>706053.4</v>
      </c>
      <c r="U646">
        <f t="shared" si="41"/>
        <v>3455</v>
      </c>
      <c r="V646">
        <f t="shared" si="42"/>
        <v>790770</v>
      </c>
      <c r="W646">
        <f t="shared" si="43"/>
        <v>84716.599999999977</v>
      </c>
    </row>
    <row r="647" spans="1:23" x14ac:dyDescent="0.25">
      <c r="A647" s="204">
        <v>7203454549</v>
      </c>
      <c r="B647" s="204">
        <v>7203175930</v>
      </c>
      <c r="C647" s="126" t="s">
        <v>287</v>
      </c>
      <c r="D647" s="5">
        <v>6234000600</v>
      </c>
      <c r="E647" s="156" t="s">
        <v>285</v>
      </c>
      <c r="F647" s="155">
        <v>28795</v>
      </c>
      <c r="G647" s="10" t="s">
        <v>1</v>
      </c>
      <c r="H647" s="107"/>
      <c r="I647" s="98">
        <v>0</v>
      </c>
      <c r="J647" s="99">
        <v>23.94</v>
      </c>
      <c r="K647" s="3"/>
      <c r="L647" s="3"/>
      <c r="M647" s="6"/>
      <c r="N647" s="6"/>
      <c r="O647" s="99">
        <v>32250</v>
      </c>
      <c r="P647" s="99" t="s">
        <v>286</v>
      </c>
      <c r="Q647" s="99">
        <v>23.94</v>
      </c>
      <c r="R647" s="99">
        <v>23.94</v>
      </c>
      <c r="S647" t="s">
        <v>433</v>
      </c>
      <c r="T647">
        <f t="shared" si="40"/>
        <v>689352.3</v>
      </c>
      <c r="U647">
        <f t="shared" si="41"/>
        <v>3455</v>
      </c>
      <c r="V647">
        <f t="shared" si="42"/>
        <v>772065</v>
      </c>
      <c r="W647">
        <f t="shared" si="43"/>
        <v>82712.699999999953</v>
      </c>
    </row>
    <row r="648" spans="1:23" x14ac:dyDescent="0.25">
      <c r="A648" s="204">
        <v>7203454549</v>
      </c>
      <c r="B648" s="204">
        <v>7203175930</v>
      </c>
      <c r="C648" s="126" t="s">
        <v>287</v>
      </c>
      <c r="D648" s="5">
        <v>6234000600</v>
      </c>
      <c r="E648" s="156" t="s">
        <v>285</v>
      </c>
      <c r="F648" s="155">
        <v>28795</v>
      </c>
      <c r="G648" s="10" t="s">
        <v>1</v>
      </c>
      <c r="H648" s="107"/>
      <c r="I648" s="98">
        <v>0</v>
      </c>
      <c r="J648" s="99">
        <v>25.02</v>
      </c>
      <c r="K648" s="3"/>
      <c r="L648" s="3"/>
      <c r="M648" s="6"/>
      <c r="N648" s="6"/>
      <c r="O648" s="99">
        <v>32250</v>
      </c>
      <c r="P648" s="99" t="s">
        <v>286</v>
      </c>
      <c r="Q648" s="99">
        <v>25.02</v>
      </c>
      <c r="R648" s="99">
        <v>25.02</v>
      </c>
      <c r="S648" t="s">
        <v>433</v>
      </c>
      <c r="T648">
        <f t="shared" si="40"/>
        <v>720450.9</v>
      </c>
      <c r="U648">
        <f t="shared" si="41"/>
        <v>3455</v>
      </c>
      <c r="V648">
        <f t="shared" si="42"/>
        <v>806895</v>
      </c>
      <c r="W648">
        <f t="shared" si="43"/>
        <v>86444.099999999977</v>
      </c>
    </row>
    <row r="649" spans="1:23" x14ac:dyDescent="0.25">
      <c r="A649" s="204">
        <v>7203454549</v>
      </c>
      <c r="B649" s="204">
        <v>7203175930</v>
      </c>
      <c r="C649" s="126" t="s">
        <v>287</v>
      </c>
      <c r="D649" s="5">
        <v>6234000600</v>
      </c>
      <c r="E649" s="156" t="s">
        <v>285</v>
      </c>
      <c r="F649" s="155">
        <v>28795</v>
      </c>
      <c r="G649" s="10" t="s">
        <v>1</v>
      </c>
      <c r="H649" s="107"/>
      <c r="I649" s="98">
        <v>0</v>
      </c>
      <c r="J649" s="99">
        <v>25.54</v>
      </c>
      <c r="K649" s="3"/>
      <c r="L649" s="3"/>
      <c r="M649" s="6"/>
      <c r="N649" s="6"/>
      <c r="O649" s="99">
        <v>32250</v>
      </c>
      <c r="P649" s="99" t="s">
        <v>286</v>
      </c>
      <c r="Q649" s="99">
        <v>25.54</v>
      </c>
      <c r="R649" s="99">
        <v>25.54</v>
      </c>
      <c r="S649" t="s">
        <v>433</v>
      </c>
      <c r="T649">
        <f t="shared" si="40"/>
        <v>735424.29999999993</v>
      </c>
      <c r="U649">
        <f t="shared" si="41"/>
        <v>3455</v>
      </c>
      <c r="V649">
        <f t="shared" si="42"/>
        <v>823665</v>
      </c>
      <c r="W649">
        <f t="shared" si="43"/>
        <v>88240.70000000007</v>
      </c>
    </row>
    <row r="650" spans="1:23" x14ac:dyDescent="0.25">
      <c r="A650" s="204">
        <v>7203454549</v>
      </c>
      <c r="B650" s="204">
        <v>7203175930</v>
      </c>
      <c r="C650" s="126" t="s">
        <v>287</v>
      </c>
      <c r="D650" s="5">
        <v>6234000600</v>
      </c>
      <c r="E650" s="156">
        <v>44629</v>
      </c>
      <c r="F650" s="155">
        <v>28795</v>
      </c>
      <c r="G650" s="10" t="s">
        <v>1</v>
      </c>
      <c r="H650" s="107"/>
      <c r="I650" s="98">
        <v>0</v>
      </c>
      <c r="J650" s="99">
        <v>26.5</v>
      </c>
      <c r="K650" s="3"/>
      <c r="L650" s="3"/>
      <c r="M650" s="6"/>
      <c r="N650" s="6"/>
      <c r="O650" s="99">
        <v>32250</v>
      </c>
      <c r="P650" s="99" t="s">
        <v>286</v>
      </c>
      <c r="Q650" s="99">
        <v>26.5</v>
      </c>
      <c r="R650" s="99">
        <v>26.5</v>
      </c>
      <c r="S650" t="s">
        <v>433</v>
      </c>
      <c r="T650">
        <f t="shared" si="40"/>
        <v>763067.5</v>
      </c>
      <c r="U650">
        <f t="shared" si="41"/>
        <v>3455</v>
      </c>
      <c r="V650">
        <f t="shared" si="42"/>
        <v>854625</v>
      </c>
      <c r="W650">
        <f t="shared" si="43"/>
        <v>91557.5</v>
      </c>
    </row>
    <row r="651" spans="1:23" x14ac:dyDescent="0.25">
      <c r="A651" s="204">
        <v>7203454549</v>
      </c>
      <c r="B651" s="204">
        <v>7203175930</v>
      </c>
      <c r="C651" s="126" t="s">
        <v>287</v>
      </c>
      <c r="D651" s="5">
        <v>6234000600</v>
      </c>
      <c r="E651" s="156">
        <v>44629</v>
      </c>
      <c r="F651" s="155">
        <v>28795</v>
      </c>
      <c r="G651" s="10" t="s">
        <v>1</v>
      </c>
      <c r="H651" s="107"/>
      <c r="I651" s="98">
        <v>0</v>
      </c>
      <c r="J651" s="99">
        <v>26.68</v>
      </c>
      <c r="K651" s="3"/>
      <c r="L651" s="3"/>
      <c r="M651" s="6"/>
      <c r="N651" s="6"/>
      <c r="O651" s="99">
        <v>32250</v>
      </c>
      <c r="P651" s="99" t="s">
        <v>286</v>
      </c>
      <c r="Q651" s="99">
        <v>26.68</v>
      </c>
      <c r="R651" s="99">
        <v>26.68</v>
      </c>
      <c r="S651" t="s">
        <v>433</v>
      </c>
      <c r="T651">
        <f t="shared" si="40"/>
        <v>768250.6</v>
      </c>
      <c r="U651">
        <f t="shared" si="41"/>
        <v>3455</v>
      </c>
      <c r="V651">
        <f t="shared" si="42"/>
        <v>860430</v>
      </c>
      <c r="W651">
        <f t="shared" si="43"/>
        <v>92179.400000000023</v>
      </c>
    </row>
    <row r="652" spans="1:23" x14ac:dyDescent="0.25">
      <c r="A652" s="204">
        <v>7203454549</v>
      </c>
      <c r="B652" s="204">
        <v>7203175930</v>
      </c>
      <c r="C652" s="126" t="s">
        <v>287</v>
      </c>
      <c r="D652" s="5">
        <v>6234000600</v>
      </c>
      <c r="E652" s="156">
        <v>44629</v>
      </c>
      <c r="F652" s="155">
        <v>28795</v>
      </c>
      <c r="G652" s="10" t="s">
        <v>1</v>
      </c>
      <c r="H652" s="107"/>
      <c r="I652" s="98">
        <v>0</v>
      </c>
      <c r="J652" s="99">
        <v>26.76</v>
      </c>
      <c r="K652" s="3"/>
      <c r="L652" s="3"/>
      <c r="M652" s="6"/>
      <c r="N652" s="6"/>
      <c r="O652" s="99">
        <v>32250</v>
      </c>
      <c r="P652" s="99" t="s">
        <v>286</v>
      </c>
      <c r="Q652" s="99">
        <v>26.76</v>
      </c>
      <c r="R652" s="99">
        <v>26.76</v>
      </c>
      <c r="S652" t="s">
        <v>433</v>
      </c>
      <c r="T652">
        <f t="shared" si="40"/>
        <v>770554.20000000007</v>
      </c>
      <c r="U652">
        <f t="shared" si="41"/>
        <v>3455</v>
      </c>
      <c r="V652">
        <f t="shared" si="42"/>
        <v>863010</v>
      </c>
      <c r="W652">
        <f t="shared" si="43"/>
        <v>92455.79999999993</v>
      </c>
    </row>
    <row r="653" spans="1:23" x14ac:dyDescent="0.25">
      <c r="A653" s="204">
        <v>7203454549</v>
      </c>
      <c r="B653" s="204">
        <v>7203175930</v>
      </c>
      <c r="C653" s="126" t="s">
        <v>287</v>
      </c>
      <c r="D653" s="5">
        <v>6234000600</v>
      </c>
      <c r="E653" s="156">
        <v>44629</v>
      </c>
      <c r="F653" s="155">
        <v>28795</v>
      </c>
      <c r="G653" s="10" t="s">
        <v>1</v>
      </c>
      <c r="H653" s="107"/>
      <c r="I653" s="98">
        <v>0</v>
      </c>
      <c r="J653" s="99">
        <v>24.48</v>
      </c>
      <c r="K653" s="3"/>
      <c r="L653" s="3"/>
      <c r="M653" s="6"/>
      <c r="N653" s="6"/>
      <c r="O653" s="99">
        <v>32250</v>
      </c>
      <c r="P653" s="99" t="s">
        <v>286</v>
      </c>
      <c r="Q653" s="99">
        <v>24.48</v>
      </c>
      <c r="R653" s="99">
        <v>24.48</v>
      </c>
      <c r="S653" t="s">
        <v>433</v>
      </c>
      <c r="T653">
        <f t="shared" si="40"/>
        <v>704901.6</v>
      </c>
      <c r="U653">
        <f t="shared" si="41"/>
        <v>3455</v>
      </c>
      <c r="V653">
        <f t="shared" si="42"/>
        <v>789480</v>
      </c>
      <c r="W653">
        <f t="shared" si="43"/>
        <v>84578.400000000023</v>
      </c>
    </row>
    <row r="654" spans="1:23" x14ac:dyDescent="0.25">
      <c r="A654" s="204">
        <v>7203454549</v>
      </c>
      <c r="B654" s="204">
        <v>7203175930</v>
      </c>
      <c r="C654" s="126" t="s">
        <v>287</v>
      </c>
      <c r="D654" s="5">
        <v>6234000600</v>
      </c>
      <c r="E654" s="156">
        <v>44630</v>
      </c>
      <c r="F654" s="155">
        <v>28795</v>
      </c>
      <c r="G654" s="10" t="s">
        <v>1</v>
      </c>
      <c r="H654" s="107"/>
      <c r="I654" s="98">
        <v>0</v>
      </c>
      <c r="J654" s="99">
        <v>26.14</v>
      </c>
      <c r="K654" s="3"/>
      <c r="L654" s="3"/>
      <c r="M654" s="6"/>
      <c r="N654" s="6"/>
      <c r="O654" s="99">
        <v>32250</v>
      </c>
      <c r="P654" s="99" t="s">
        <v>286</v>
      </c>
      <c r="Q654" s="99">
        <v>26.14</v>
      </c>
      <c r="R654" s="99">
        <v>26.14</v>
      </c>
      <c r="S654" t="s">
        <v>433</v>
      </c>
      <c r="T654">
        <f t="shared" si="40"/>
        <v>752701.3</v>
      </c>
      <c r="U654">
        <f t="shared" si="41"/>
        <v>3455</v>
      </c>
      <c r="V654">
        <f t="shared" si="42"/>
        <v>843015</v>
      </c>
      <c r="W654">
        <f t="shared" si="43"/>
        <v>90313.699999999953</v>
      </c>
    </row>
    <row r="655" spans="1:23" x14ac:dyDescent="0.25">
      <c r="A655" s="204">
        <v>7203454549</v>
      </c>
      <c r="B655" s="204">
        <v>7203175930</v>
      </c>
      <c r="C655" s="126" t="s">
        <v>287</v>
      </c>
      <c r="D655" s="5">
        <v>6234000600</v>
      </c>
      <c r="E655" s="156">
        <v>44630</v>
      </c>
      <c r="F655" s="155">
        <v>28795</v>
      </c>
      <c r="G655" s="10" t="s">
        <v>1</v>
      </c>
      <c r="H655" s="107"/>
      <c r="I655" s="98">
        <v>0</v>
      </c>
      <c r="J655" s="99">
        <v>26.3</v>
      </c>
      <c r="K655" s="3"/>
      <c r="L655" s="3"/>
      <c r="M655" s="6"/>
      <c r="N655" s="6"/>
      <c r="O655" s="99">
        <v>32250</v>
      </c>
      <c r="P655" s="99" t="s">
        <v>286</v>
      </c>
      <c r="Q655" s="99">
        <v>26.3</v>
      </c>
      <c r="R655" s="99">
        <v>26.3</v>
      </c>
      <c r="S655" t="s">
        <v>433</v>
      </c>
      <c r="T655">
        <f t="shared" si="40"/>
        <v>757308.5</v>
      </c>
      <c r="U655">
        <f t="shared" si="41"/>
        <v>3455</v>
      </c>
      <c r="V655">
        <f t="shared" si="42"/>
        <v>848175</v>
      </c>
      <c r="W655">
        <f t="shared" si="43"/>
        <v>90866.5</v>
      </c>
    </row>
    <row r="656" spans="1:23" x14ac:dyDescent="0.25">
      <c r="A656" s="204">
        <v>7203454549</v>
      </c>
      <c r="B656" s="204">
        <v>7203175930</v>
      </c>
      <c r="C656" s="126" t="s">
        <v>287</v>
      </c>
      <c r="D656" s="5">
        <v>6234000600</v>
      </c>
      <c r="E656" s="156">
        <v>44630</v>
      </c>
      <c r="F656" s="155">
        <v>28795</v>
      </c>
      <c r="G656" s="10" t="s">
        <v>1</v>
      </c>
      <c r="H656" s="107"/>
      <c r="I656" s="98">
        <v>0</v>
      </c>
      <c r="J656" s="99">
        <v>22.78</v>
      </c>
      <c r="K656" s="3"/>
      <c r="L656" s="3"/>
      <c r="M656" s="6"/>
      <c r="N656" s="6"/>
      <c r="O656" s="99">
        <v>32250</v>
      </c>
      <c r="P656" s="99" t="s">
        <v>286</v>
      </c>
      <c r="Q656" s="99">
        <v>22.78</v>
      </c>
      <c r="R656" s="99">
        <v>22.78</v>
      </c>
      <c r="S656" t="s">
        <v>433</v>
      </c>
      <c r="T656">
        <f t="shared" si="40"/>
        <v>655950.1</v>
      </c>
      <c r="U656">
        <f t="shared" si="41"/>
        <v>3455</v>
      </c>
      <c r="V656">
        <f t="shared" si="42"/>
        <v>734655</v>
      </c>
      <c r="W656">
        <f t="shared" si="43"/>
        <v>78704.900000000023</v>
      </c>
    </row>
    <row r="657" spans="1:23" x14ac:dyDescent="0.25">
      <c r="A657" s="204">
        <v>7203454549</v>
      </c>
      <c r="B657" s="204">
        <v>7203175930</v>
      </c>
      <c r="C657" s="126" t="s">
        <v>287</v>
      </c>
      <c r="D657" s="5">
        <v>6234000600</v>
      </c>
      <c r="E657" s="156">
        <v>44630</v>
      </c>
      <c r="F657" s="155">
        <v>27100</v>
      </c>
      <c r="G657" s="10" t="s">
        <v>421</v>
      </c>
      <c r="H657" s="204">
        <v>5503182532</v>
      </c>
      <c r="I657" s="98">
        <v>1600</v>
      </c>
      <c r="J657" s="99">
        <v>26</v>
      </c>
      <c r="K657" s="3" t="s">
        <v>97</v>
      </c>
      <c r="L657" s="3"/>
      <c r="M657" s="6"/>
      <c r="N657" s="6"/>
      <c r="O657" s="99">
        <v>32250</v>
      </c>
      <c r="P657" s="99" t="s">
        <v>286</v>
      </c>
      <c r="Q657" s="99">
        <v>26</v>
      </c>
      <c r="R657" s="99">
        <v>26</v>
      </c>
      <c r="S657" t="s">
        <v>433</v>
      </c>
      <c r="T657">
        <f t="shared" si="40"/>
        <v>746200</v>
      </c>
      <c r="U657">
        <f t="shared" si="41"/>
        <v>3550</v>
      </c>
      <c r="V657">
        <f t="shared" si="42"/>
        <v>838500</v>
      </c>
      <c r="W657">
        <f t="shared" si="43"/>
        <v>92300</v>
      </c>
    </row>
    <row r="658" spans="1:23" x14ac:dyDescent="0.25">
      <c r="A658" s="204">
        <v>7203454549</v>
      </c>
      <c r="B658" s="204">
        <v>7203175930</v>
      </c>
      <c r="C658" s="126" t="s">
        <v>287</v>
      </c>
      <c r="D658" s="5">
        <v>6234000600</v>
      </c>
      <c r="E658" s="156">
        <v>44630</v>
      </c>
      <c r="F658" s="155">
        <v>27100</v>
      </c>
      <c r="G658" s="10" t="s">
        <v>421</v>
      </c>
      <c r="H658" s="204">
        <v>5503182532</v>
      </c>
      <c r="I658" s="98">
        <v>1600</v>
      </c>
      <c r="J658" s="99">
        <v>26.34</v>
      </c>
      <c r="K658" s="3" t="s">
        <v>115</v>
      </c>
      <c r="L658" s="3"/>
      <c r="M658" s="6"/>
      <c r="N658" s="6"/>
      <c r="O658" s="99">
        <v>32250</v>
      </c>
      <c r="P658" s="99" t="s">
        <v>286</v>
      </c>
      <c r="Q658" s="99">
        <v>26.34</v>
      </c>
      <c r="R658" s="99">
        <v>26.34</v>
      </c>
      <c r="S658" t="s">
        <v>433</v>
      </c>
      <c r="T658">
        <f t="shared" si="40"/>
        <v>755958</v>
      </c>
      <c r="U658">
        <f t="shared" si="41"/>
        <v>3550</v>
      </c>
      <c r="V658">
        <f t="shared" si="42"/>
        <v>849465</v>
      </c>
      <c r="W658">
        <f t="shared" si="43"/>
        <v>93507</v>
      </c>
    </row>
    <row r="659" spans="1:23" x14ac:dyDescent="0.25">
      <c r="A659" s="204">
        <v>7203454549</v>
      </c>
      <c r="B659" s="204">
        <v>7203175930</v>
      </c>
      <c r="C659" s="126" t="s">
        <v>287</v>
      </c>
      <c r="D659" s="5">
        <v>6234000600</v>
      </c>
      <c r="E659" s="156">
        <v>44630</v>
      </c>
      <c r="F659" s="155">
        <v>27100</v>
      </c>
      <c r="G659" s="10" t="s">
        <v>421</v>
      </c>
      <c r="H659" s="204">
        <v>5501132737</v>
      </c>
      <c r="I659" s="98">
        <v>1600</v>
      </c>
      <c r="J659" s="99">
        <v>25.14</v>
      </c>
      <c r="K659" s="3" t="s">
        <v>206</v>
      </c>
      <c r="L659" s="3"/>
      <c r="M659" s="6"/>
      <c r="N659" s="6"/>
      <c r="O659" s="99">
        <v>32250</v>
      </c>
      <c r="P659" s="99" t="s">
        <v>286</v>
      </c>
      <c r="Q659" s="99">
        <v>25.14</v>
      </c>
      <c r="R659" s="99">
        <v>25.14</v>
      </c>
      <c r="S659" t="s">
        <v>433</v>
      </c>
      <c r="T659">
        <f t="shared" si="40"/>
        <v>721518</v>
      </c>
      <c r="U659">
        <f t="shared" si="41"/>
        <v>3550</v>
      </c>
      <c r="V659">
        <f t="shared" si="42"/>
        <v>810765</v>
      </c>
      <c r="W659">
        <f t="shared" si="43"/>
        <v>89247</v>
      </c>
    </row>
    <row r="660" spans="1:23" x14ac:dyDescent="0.25">
      <c r="A660" s="204">
        <v>7203454549</v>
      </c>
      <c r="B660" s="204">
        <v>7203175930</v>
      </c>
      <c r="C660" s="126" t="s">
        <v>287</v>
      </c>
      <c r="D660" s="5">
        <v>6234000600</v>
      </c>
      <c r="E660" s="156">
        <v>44630</v>
      </c>
      <c r="F660" s="155">
        <v>27100</v>
      </c>
      <c r="G660" s="10" t="s">
        <v>421</v>
      </c>
      <c r="H660" s="204">
        <v>5501132737</v>
      </c>
      <c r="I660" s="98">
        <v>1600</v>
      </c>
      <c r="J660" s="99">
        <v>26.08</v>
      </c>
      <c r="K660" s="3" t="s">
        <v>195</v>
      </c>
      <c r="L660" s="3"/>
      <c r="M660" s="6"/>
      <c r="N660" s="6"/>
      <c r="O660" s="99">
        <v>32250</v>
      </c>
      <c r="P660" s="99" t="s">
        <v>286</v>
      </c>
      <c r="Q660" s="99">
        <v>26.08</v>
      </c>
      <c r="R660" s="99">
        <v>26.08</v>
      </c>
      <c r="S660" t="s">
        <v>433</v>
      </c>
      <c r="T660">
        <f t="shared" si="40"/>
        <v>748496</v>
      </c>
      <c r="U660">
        <f t="shared" si="41"/>
        <v>3550</v>
      </c>
      <c r="V660">
        <f t="shared" si="42"/>
        <v>841080</v>
      </c>
      <c r="W660">
        <f t="shared" si="43"/>
        <v>92584</v>
      </c>
    </row>
    <row r="661" spans="1:23" x14ac:dyDescent="0.25">
      <c r="A661" s="204">
        <v>7203454549</v>
      </c>
      <c r="B661" s="204">
        <v>7203175930</v>
      </c>
      <c r="C661" s="126" t="s">
        <v>287</v>
      </c>
      <c r="D661" s="5">
        <v>6234000600</v>
      </c>
      <c r="E661" s="156">
        <v>44631</v>
      </c>
      <c r="F661" s="155">
        <v>28795</v>
      </c>
      <c r="G661" s="10" t="s">
        <v>1</v>
      </c>
      <c r="H661" s="107"/>
      <c r="I661" s="98">
        <v>0</v>
      </c>
      <c r="J661" s="99">
        <v>26.32</v>
      </c>
      <c r="K661" s="3"/>
      <c r="L661" s="3"/>
      <c r="M661" s="6"/>
      <c r="N661" s="6"/>
      <c r="O661" s="99">
        <v>32250</v>
      </c>
      <c r="P661" s="99" t="s">
        <v>286</v>
      </c>
      <c r="Q661" s="99">
        <v>26.32</v>
      </c>
      <c r="R661" s="99">
        <v>26.32</v>
      </c>
      <c r="S661" t="s">
        <v>433</v>
      </c>
      <c r="T661">
        <f t="shared" si="40"/>
        <v>757884.4</v>
      </c>
      <c r="U661">
        <f t="shared" si="41"/>
        <v>3455</v>
      </c>
      <c r="V661">
        <f t="shared" si="42"/>
        <v>848820</v>
      </c>
      <c r="W661">
        <f t="shared" si="43"/>
        <v>90935.599999999977</v>
      </c>
    </row>
    <row r="662" spans="1:23" x14ac:dyDescent="0.25">
      <c r="A662" s="204">
        <v>7203454549</v>
      </c>
      <c r="B662" s="204">
        <v>7203175930</v>
      </c>
      <c r="C662" s="126" t="s">
        <v>287</v>
      </c>
      <c r="D662" s="5">
        <v>6234000600</v>
      </c>
      <c r="E662" s="156">
        <v>44631</v>
      </c>
      <c r="F662" s="155">
        <v>28795</v>
      </c>
      <c r="G662" s="10" t="s">
        <v>1</v>
      </c>
      <c r="H662" s="107"/>
      <c r="I662" s="98">
        <v>0</v>
      </c>
      <c r="J662" s="99">
        <v>25.34</v>
      </c>
      <c r="K662" s="3"/>
      <c r="L662" s="3"/>
      <c r="M662" s="6"/>
      <c r="N662" s="6"/>
      <c r="O662" s="99">
        <v>32250</v>
      </c>
      <c r="P662" s="99" t="s">
        <v>286</v>
      </c>
      <c r="Q662" s="99">
        <v>25.34</v>
      </c>
      <c r="R662" s="99">
        <v>25.34</v>
      </c>
      <c r="S662" t="s">
        <v>433</v>
      </c>
      <c r="T662">
        <f t="shared" si="40"/>
        <v>729665.3</v>
      </c>
      <c r="U662">
        <f t="shared" si="41"/>
        <v>3455</v>
      </c>
      <c r="V662">
        <f t="shared" si="42"/>
        <v>817215</v>
      </c>
      <c r="W662">
        <f t="shared" si="43"/>
        <v>87549.699999999953</v>
      </c>
    </row>
    <row r="663" spans="1:23" x14ac:dyDescent="0.25">
      <c r="A663" s="204">
        <v>7203454549</v>
      </c>
      <c r="B663" s="204">
        <v>7203175930</v>
      </c>
      <c r="C663" s="126" t="s">
        <v>287</v>
      </c>
      <c r="D663" s="5">
        <v>6234000600</v>
      </c>
      <c r="E663" s="156">
        <v>44631</v>
      </c>
      <c r="F663" s="155">
        <v>28795</v>
      </c>
      <c r="G663" s="10" t="s">
        <v>1</v>
      </c>
      <c r="H663" s="107"/>
      <c r="I663" s="98">
        <v>0</v>
      </c>
      <c r="J663" s="99">
        <v>26.76</v>
      </c>
      <c r="K663" s="3"/>
      <c r="L663" s="3"/>
      <c r="M663" s="6"/>
      <c r="N663" s="6"/>
      <c r="O663" s="99">
        <v>32250</v>
      </c>
      <c r="P663" s="99" t="s">
        <v>286</v>
      </c>
      <c r="Q663" s="99">
        <v>26.76</v>
      </c>
      <c r="R663" s="99">
        <v>26.76</v>
      </c>
      <c r="S663" t="s">
        <v>433</v>
      </c>
      <c r="T663">
        <f t="shared" si="40"/>
        <v>770554.20000000007</v>
      </c>
      <c r="U663">
        <f t="shared" si="41"/>
        <v>3455</v>
      </c>
      <c r="V663">
        <f t="shared" si="42"/>
        <v>863010</v>
      </c>
      <c r="W663">
        <f t="shared" si="43"/>
        <v>92455.79999999993</v>
      </c>
    </row>
    <row r="664" spans="1:23" x14ac:dyDescent="0.25">
      <c r="A664" s="204">
        <v>7203454549</v>
      </c>
      <c r="B664" s="204">
        <v>7203175930</v>
      </c>
      <c r="C664" s="126" t="s">
        <v>287</v>
      </c>
      <c r="D664" s="5">
        <v>6234000600</v>
      </c>
      <c r="E664" s="156">
        <v>44631</v>
      </c>
      <c r="F664" s="155">
        <v>27100</v>
      </c>
      <c r="G664" s="10" t="s">
        <v>421</v>
      </c>
      <c r="H664" s="204">
        <v>5501132737</v>
      </c>
      <c r="I664" s="98">
        <v>1600</v>
      </c>
      <c r="J664" s="99">
        <v>26.2</v>
      </c>
      <c r="K664" s="3" t="s">
        <v>292</v>
      </c>
      <c r="L664" s="3"/>
      <c r="M664" s="6"/>
      <c r="N664" s="6"/>
      <c r="O664" s="99">
        <v>32250</v>
      </c>
      <c r="P664" s="99" t="s">
        <v>286</v>
      </c>
      <c r="Q664" s="99">
        <v>26.2</v>
      </c>
      <c r="R664" s="99">
        <v>26.2</v>
      </c>
      <c r="S664" t="s">
        <v>433</v>
      </c>
      <c r="T664">
        <f t="shared" si="40"/>
        <v>751940</v>
      </c>
      <c r="U664">
        <f t="shared" si="41"/>
        <v>3550</v>
      </c>
      <c r="V664">
        <f t="shared" si="42"/>
        <v>844950</v>
      </c>
      <c r="W664">
        <f t="shared" si="43"/>
        <v>93010</v>
      </c>
    </row>
    <row r="665" spans="1:23" x14ac:dyDescent="0.25">
      <c r="A665" s="204">
        <v>7203454549</v>
      </c>
      <c r="B665" s="204">
        <v>7203175930</v>
      </c>
      <c r="C665" s="126" t="s">
        <v>287</v>
      </c>
      <c r="D665" s="5">
        <v>6234000600</v>
      </c>
      <c r="E665" s="156">
        <v>44631</v>
      </c>
      <c r="F665" s="155">
        <v>27100</v>
      </c>
      <c r="G665" s="10" t="s">
        <v>421</v>
      </c>
      <c r="H665" s="204">
        <v>5501132737</v>
      </c>
      <c r="I665" s="98">
        <v>1600</v>
      </c>
      <c r="J665" s="99">
        <v>26.74</v>
      </c>
      <c r="K665" s="3" t="s">
        <v>113</v>
      </c>
      <c r="L665" s="3"/>
      <c r="M665" s="6"/>
      <c r="N665" s="6"/>
      <c r="O665" s="99">
        <v>32250</v>
      </c>
      <c r="P665" s="99" t="s">
        <v>286</v>
      </c>
      <c r="Q665" s="99">
        <v>26.74</v>
      </c>
      <c r="R665" s="99">
        <v>26.74</v>
      </c>
      <c r="S665" t="s">
        <v>433</v>
      </c>
      <c r="T665">
        <f t="shared" si="40"/>
        <v>767438</v>
      </c>
      <c r="U665">
        <f t="shared" si="41"/>
        <v>3550</v>
      </c>
      <c r="V665">
        <f t="shared" si="42"/>
        <v>862365</v>
      </c>
      <c r="W665">
        <f t="shared" si="43"/>
        <v>94927</v>
      </c>
    </row>
    <row r="666" spans="1:23" x14ac:dyDescent="0.25">
      <c r="A666" s="204">
        <v>7203454549</v>
      </c>
      <c r="B666" s="204">
        <v>7203175930</v>
      </c>
      <c r="C666" s="126" t="s">
        <v>287</v>
      </c>
      <c r="D666" s="5">
        <v>6234000600</v>
      </c>
      <c r="E666" s="156">
        <v>44631</v>
      </c>
      <c r="F666" s="155">
        <v>27100</v>
      </c>
      <c r="G666" s="10" t="s">
        <v>421</v>
      </c>
      <c r="H666" s="204">
        <v>5501132737</v>
      </c>
      <c r="I666" s="98">
        <v>1600</v>
      </c>
      <c r="J666" s="99">
        <v>25.98</v>
      </c>
      <c r="K666" s="3" t="s">
        <v>211</v>
      </c>
      <c r="L666" s="3"/>
      <c r="M666" s="6"/>
      <c r="N666" s="6"/>
      <c r="O666" s="99">
        <v>32250</v>
      </c>
      <c r="P666" s="99" t="s">
        <v>286</v>
      </c>
      <c r="Q666" s="99">
        <v>25.98</v>
      </c>
      <c r="R666" s="99">
        <v>25.98</v>
      </c>
      <c r="S666" t="s">
        <v>433</v>
      </c>
      <c r="T666">
        <f t="shared" si="40"/>
        <v>745626</v>
      </c>
      <c r="U666">
        <f t="shared" si="41"/>
        <v>3550</v>
      </c>
      <c r="V666">
        <f t="shared" si="42"/>
        <v>837855</v>
      </c>
      <c r="W666">
        <f t="shared" si="43"/>
        <v>92229</v>
      </c>
    </row>
    <row r="667" spans="1:23" x14ac:dyDescent="0.25">
      <c r="A667" s="204">
        <v>7203454549</v>
      </c>
      <c r="B667" s="204">
        <v>7203175930</v>
      </c>
      <c r="C667" s="126" t="s">
        <v>287</v>
      </c>
      <c r="D667" s="5">
        <v>6234000600</v>
      </c>
      <c r="E667" s="156">
        <v>44633</v>
      </c>
      <c r="F667" s="155">
        <v>27100</v>
      </c>
      <c r="G667" s="10" t="s">
        <v>421</v>
      </c>
      <c r="H667" s="204">
        <v>5501132737</v>
      </c>
      <c r="I667" s="98">
        <v>1600</v>
      </c>
      <c r="J667" s="99">
        <v>26.66</v>
      </c>
      <c r="K667" s="3" t="s">
        <v>113</v>
      </c>
      <c r="L667" s="3"/>
      <c r="M667" s="6"/>
      <c r="N667" s="6"/>
      <c r="O667" s="99">
        <v>32250</v>
      </c>
      <c r="P667" s="99" t="s">
        <v>286</v>
      </c>
      <c r="Q667" s="99">
        <v>26.66</v>
      </c>
      <c r="R667" s="99">
        <v>26.66</v>
      </c>
      <c r="S667" t="s">
        <v>433</v>
      </c>
      <c r="T667">
        <f t="shared" si="40"/>
        <v>765142</v>
      </c>
      <c r="U667">
        <f t="shared" si="41"/>
        <v>3550</v>
      </c>
      <c r="V667">
        <f t="shared" si="42"/>
        <v>859785</v>
      </c>
      <c r="W667">
        <f t="shared" si="43"/>
        <v>94643</v>
      </c>
    </row>
    <row r="668" spans="1:23" x14ac:dyDescent="0.25">
      <c r="A668" s="204">
        <v>7203454549</v>
      </c>
      <c r="B668" s="204">
        <v>7203175930</v>
      </c>
      <c r="C668" s="126" t="s">
        <v>287</v>
      </c>
      <c r="D668" s="5">
        <v>6234000600</v>
      </c>
      <c r="E668" s="156">
        <v>44633</v>
      </c>
      <c r="F668" s="155">
        <v>27100</v>
      </c>
      <c r="G668" s="10" t="s">
        <v>421</v>
      </c>
      <c r="H668" s="204">
        <v>5501132737</v>
      </c>
      <c r="I668" s="98">
        <v>1600</v>
      </c>
      <c r="J668" s="99">
        <v>26.26</v>
      </c>
      <c r="K668" s="3" t="s">
        <v>211</v>
      </c>
      <c r="L668" s="3"/>
      <c r="M668" s="6"/>
      <c r="N668" s="6"/>
      <c r="O668" s="99">
        <v>32250</v>
      </c>
      <c r="P668" s="99" t="s">
        <v>286</v>
      </c>
      <c r="Q668" s="99">
        <v>26.26</v>
      </c>
      <c r="R668" s="99">
        <v>26.26</v>
      </c>
      <c r="S668" t="s">
        <v>433</v>
      </c>
      <c r="T668">
        <f t="shared" si="40"/>
        <v>753662</v>
      </c>
      <c r="U668">
        <f t="shared" si="41"/>
        <v>3550</v>
      </c>
      <c r="V668">
        <f t="shared" si="42"/>
        <v>846885</v>
      </c>
      <c r="W668">
        <f t="shared" si="43"/>
        <v>93223</v>
      </c>
    </row>
    <row r="669" spans="1:23" x14ac:dyDescent="0.25">
      <c r="A669" s="204">
        <v>7203454549</v>
      </c>
      <c r="B669" s="204">
        <v>7203175930</v>
      </c>
      <c r="C669" s="126" t="s">
        <v>287</v>
      </c>
      <c r="D669" s="5">
        <v>6234000600</v>
      </c>
      <c r="E669" s="156">
        <v>44633</v>
      </c>
      <c r="F669" s="155">
        <v>27100</v>
      </c>
      <c r="G669" s="10" t="s">
        <v>421</v>
      </c>
      <c r="H669" s="204">
        <v>5501132737</v>
      </c>
      <c r="I669" s="98">
        <v>1600</v>
      </c>
      <c r="J669" s="99">
        <v>26.16</v>
      </c>
      <c r="K669" s="3" t="s">
        <v>292</v>
      </c>
      <c r="L669" s="3"/>
      <c r="M669" s="6"/>
      <c r="N669" s="6"/>
      <c r="O669" s="99">
        <v>32250</v>
      </c>
      <c r="P669" s="99" t="s">
        <v>286</v>
      </c>
      <c r="Q669" s="99">
        <v>26.16</v>
      </c>
      <c r="R669" s="99">
        <v>26.16</v>
      </c>
      <c r="S669" t="s">
        <v>433</v>
      </c>
      <c r="T669">
        <f t="shared" si="40"/>
        <v>750792</v>
      </c>
      <c r="U669">
        <f t="shared" si="41"/>
        <v>3550</v>
      </c>
      <c r="V669">
        <f t="shared" si="42"/>
        <v>843660</v>
      </c>
      <c r="W669">
        <f t="shared" si="43"/>
        <v>92868</v>
      </c>
    </row>
    <row r="670" spans="1:23" x14ac:dyDescent="0.25">
      <c r="A670" s="204">
        <v>7203454549</v>
      </c>
      <c r="B670" s="204">
        <v>7203175930</v>
      </c>
      <c r="C670" s="126" t="s">
        <v>287</v>
      </c>
      <c r="D670" s="5">
        <v>6234000600</v>
      </c>
      <c r="E670" s="156">
        <v>44633</v>
      </c>
      <c r="F670" s="155">
        <v>28795</v>
      </c>
      <c r="G670" s="10" t="s">
        <v>1</v>
      </c>
      <c r="H670" s="107"/>
      <c r="I670" s="98">
        <v>0</v>
      </c>
      <c r="J670" s="99">
        <v>26.62</v>
      </c>
      <c r="K670" s="3"/>
      <c r="L670" s="3"/>
      <c r="M670" s="6"/>
      <c r="N670" s="6"/>
      <c r="O670" s="99">
        <v>32250</v>
      </c>
      <c r="P670" s="99" t="s">
        <v>286</v>
      </c>
      <c r="Q670" s="99">
        <v>26.62</v>
      </c>
      <c r="R670" s="99">
        <v>26.62</v>
      </c>
      <c r="S670" t="s">
        <v>433</v>
      </c>
      <c r="T670">
        <f t="shared" si="40"/>
        <v>766522.9</v>
      </c>
      <c r="U670">
        <f t="shared" si="41"/>
        <v>3455</v>
      </c>
      <c r="V670">
        <f t="shared" si="42"/>
        <v>858495</v>
      </c>
      <c r="W670">
        <f t="shared" si="43"/>
        <v>91972.099999999977</v>
      </c>
    </row>
    <row r="671" spans="1:23" x14ac:dyDescent="0.25">
      <c r="A671" s="204">
        <v>7203454549</v>
      </c>
      <c r="B671" s="204">
        <v>7203175930</v>
      </c>
      <c r="C671" s="126" t="s">
        <v>287</v>
      </c>
      <c r="D671" s="5">
        <v>6234000600</v>
      </c>
      <c r="E671" s="156">
        <v>44633</v>
      </c>
      <c r="F671" s="155">
        <v>28795</v>
      </c>
      <c r="G671" s="10" t="s">
        <v>1</v>
      </c>
      <c r="H671" s="107"/>
      <c r="I671" s="98">
        <v>0</v>
      </c>
      <c r="J671" s="99">
        <v>26.38</v>
      </c>
      <c r="K671" s="3"/>
      <c r="L671" s="3"/>
      <c r="M671" s="6"/>
      <c r="N671" s="6"/>
      <c r="O671" s="99">
        <v>32250</v>
      </c>
      <c r="P671" s="99" t="s">
        <v>286</v>
      </c>
      <c r="Q671" s="99">
        <v>26.38</v>
      </c>
      <c r="R671" s="99">
        <v>26.38</v>
      </c>
      <c r="S671" t="s">
        <v>433</v>
      </c>
      <c r="T671">
        <f t="shared" si="40"/>
        <v>759612.1</v>
      </c>
      <c r="U671">
        <f t="shared" si="41"/>
        <v>3455</v>
      </c>
      <c r="V671">
        <f t="shared" si="42"/>
        <v>850755</v>
      </c>
      <c r="W671">
        <f t="shared" si="43"/>
        <v>91142.900000000023</v>
      </c>
    </row>
    <row r="672" spans="1:23" x14ac:dyDescent="0.25">
      <c r="A672" s="204">
        <v>7203454549</v>
      </c>
      <c r="B672" s="204">
        <v>7203175930</v>
      </c>
      <c r="C672" s="126" t="s">
        <v>287</v>
      </c>
      <c r="D672" s="5">
        <v>6234000600</v>
      </c>
      <c r="E672" s="156">
        <v>44634</v>
      </c>
      <c r="F672" s="155">
        <v>28795</v>
      </c>
      <c r="G672" s="10" t="s">
        <v>1</v>
      </c>
      <c r="H672" s="107"/>
      <c r="I672" s="103">
        <v>0</v>
      </c>
      <c r="J672" s="103">
        <v>26.7</v>
      </c>
      <c r="K672" s="3"/>
      <c r="L672" s="3"/>
      <c r="M672" s="6"/>
      <c r="N672" s="6"/>
      <c r="O672" s="103">
        <v>32250</v>
      </c>
      <c r="P672" s="103" t="s">
        <v>286</v>
      </c>
      <c r="Q672" s="103">
        <v>26.7</v>
      </c>
      <c r="R672" s="103">
        <v>26.7</v>
      </c>
      <c r="S672" t="s">
        <v>433</v>
      </c>
      <c r="T672">
        <f t="shared" si="40"/>
        <v>768826.5</v>
      </c>
      <c r="U672">
        <f t="shared" si="41"/>
        <v>3455</v>
      </c>
      <c r="V672">
        <f t="shared" si="42"/>
        <v>861075</v>
      </c>
      <c r="W672">
        <f t="shared" si="43"/>
        <v>92248.5</v>
      </c>
    </row>
    <row r="673" spans="1:23" x14ac:dyDescent="0.25">
      <c r="A673" s="204">
        <v>7203454549</v>
      </c>
      <c r="B673" s="204">
        <v>7203175930</v>
      </c>
      <c r="C673" s="126" t="s">
        <v>287</v>
      </c>
      <c r="D673" s="5">
        <v>6234000600</v>
      </c>
      <c r="E673" s="156">
        <v>44634</v>
      </c>
      <c r="F673" s="155">
        <v>28795</v>
      </c>
      <c r="G673" s="10" t="s">
        <v>1</v>
      </c>
      <c r="H673" s="107"/>
      <c r="I673" s="103">
        <v>0</v>
      </c>
      <c r="J673" s="103">
        <v>25.64</v>
      </c>
      <c r="K673" s="3"/>
      <c r="L673" s="3"/>
      <c r="M673" s="6"/>
      <c r="N673" s="6"/>
      <c r="O673" s="103">
        <v>32250</v>
      </c>
      <c r="P673" s="103" t="s">
        <v>286</v>
      </c>
      <c r="Q673" s="103">
        <v>25.64</v>
      </c>
      <c r="R673" s="103">
        <v>25.64</v>
      </c>
      <c r="S673" t="s">
        <v>433</v>
      </c>
      <c r="T673">
        <f t="shared" si="40"/>
        <v>738303.8</v>
      </c>
      <c r="U673">
        <f t="shared" si="41"/>
        <v>3455</v>
      </c>
      <c r="V673">
        <f t="shared" si="42"/>
        <v>826890</v>
      </c>
      <c r="W673">
        <f t="shared" si="43"/>
        <v>88586.199999999953</v>
      </c>
    </row>
    <row r="674" spans="1:23" x14ac:dyDescent="0.25">
      <c r="A674" s="204">
        <v>7203454549</v>
      </c>
      <c r="B674" s="204">
        <v>7203175930</v>
      </c>
      <c r="C674" s="126" t="s">
        <v>287</v>
      </c>
      <c r="D674" s="5">
        <v>6234000600</v>
      </c>
      <c r="E674" s="156">
        <v>44634</v>
      </c>
      <c r="F674" s="155">
        <v>27100</v>
      </c>
      <c r="G674" s="10" t="s">
        <v>421</v>
      </c>
      <c r="H674" s="204">
        <v>5503182532</v>
      </c>
      <c r="I674" s="103">
        <v>1600</v>
      </c>
      <c r="J674" s="103">
        <v>25.66</v>
      </c>
      <c r="K674" s="3" t="s">
        <v>257</v>
      </c>
      <c r="L674" s="3"/>
      <c r="M674" s="6"/>
      <c r="N674" s="6"/>
      <c r="O674" s="103">
        <v>32250</v>
      </c>
      <c r="P674" s="103" t="s">
        <v>286</v>
      </c>
      <c r="Q674" s="103">
        <v>25.66</v>
      </c>
      <c r="R674" s="103">
        <v>25.66</v>
      </c>
      <c r="S674" t="s">
        <v>433</v>
      </c>
      <c r="T674">
        <f t="shared" si="40"/>
        <v>736442</v>
      </c>
      <c r="U674">
        <f t="shared" si="41"/>
        <v>3550</v>
      </c>
      <c r="V674">
        <f t="shared" si="42"/>
        <v>827535</v>
      </c>
      <c r="W674">
        <f t="shared" si="43"/>
        <v>91093</v>
      </c>
    </row>
    <row r="675" spans="1:23" x14ac:dyDescent="0.25">
      <c r="A675" s="204">
        <v>7203454549</v>
      </c>
      <c r="B675" s="204">
        <v>7203175930</v>
      </c>
      <c r="C675" s="126" t="s">
        <v>287</v>
      </c>
      <c r="D675" s="5">
        <v>6234000600</v>
      </c>
      <c r="E675" s="156">
        <v>44635</v>
      </c>
      <c r="F675" s="155">
        <v>28795</v>
      </c>
      <c r="G675" s="10" t="s">
        <v>1</v>
      </c>
      <c r="H675" s="107"/>
      <c r="I675" s="103">
        <v>0</v>
      </c>
      <c r="J675" s="103">
        <v>26.54</v>
      </c>
      <c r="K675" s="3"/>
      <c r="L675" s="3"/>
      <c r="M675" s="6"/>
      <c r="N675" s="6"/>
      <c r="O675" s="103">
        <v>32250</v>
      </c>
      <c r="P675" s="103" t="s">
        <v>286</v>
      </c>
      <c r="Q675" s="103">
        <v>26.54</v>
      </c>
      <c r="R675" s="103">
        <v>26.54</v>
      </c>
      <c r="S675" t="s">
        <v>433</v>
      </c>
      <c r="T675">
        <f t="shared" si="40"/>
        <v>764219.29999999993</v>
      </c>
      <c r="U675">
        <f t="shared" si="41"/>
        <v>3455</v>
      </c>
      <c r="V675">
        <f t="shared" si="42"/>
        <v>855915</v>
      </c>
      <c r="W675">
        <f t="shared" si="43"/>
        <v>91695.70000000007</v>
      </c>
    </row>
    <row r="676" spans="1:23" x14ac:dyDescent="0.25">
      <c r="A676" s="204">
        <v>7203454549</v>
      </c>
      <c r="B676" s="204">
        <v>7203175930</v>
      </c>
      <c r="C676" s="126" t="s">
        <v>287</v>
      </c>
      <c r="D676" s="5">
        <v>6234000600</v>
      </c>
      <c r="E676" s="156">
        <v>44635</v>
      </c>
      <c r="F676" s="155">
        <v>28795</v>
      </c>
      <c r="G676" s="10" t="s">
        <v>1</v>
      </c>
      <c r="H676" s="107"/>
      <c r="I676" s="103">
        <v>0</v>
      </c>
      <c r="J676" s="103">
        <v>24.32</v>
      </c>
      <c r="K676" s="3" t="s">
        <v>293</v>
      </c>
      <c r="L676" s="3" t="s">
        <v>330</v>
      </c>
      <c r="M676" s="6"/>
      <c r="N676" s="6"/>
      <c r="O676" s="103">
        <v>32250</v>
      </c>
      <c r="P676" s="103" t="s">
        <v>286</v>
      </c>
      <c r="Q676" s="103">
        <v>24.32</v>
      </c>
      <c r="R676" s="103">
        <v>24.32</v>
      </c>
      <c r="S676" t="s">
        <v>433</v>
      </c>
      <c r="T676">
        <f t="shared" si="40"/>
        <v>700294.4</v>
      </c>
      <c r="U676">
        <f t="shared" si="41"/>
        <v>3455</v>
      </c>
      <c r="V676">
        <f t="shared" si="42"/>
        <v>784320</v>
      </c>
      <c r="W676">
        <f t="shared" si="43"/>
        <v>84025.599999999977</v>
      </c>
    </row>
    <row r="677" spans="1:23" x14ac:dyDescent="0.25">
      <c r="A677" s="204">
        <v>7203454549</v>
      </c>
      <c r="B677" s="204">
        <v>7203175930</v>
      </c>
      <c r="C677" s="126" t="s">
        <v>287</v>
      </c>
      <c r="D677" s="5">
        <v>6234000600</v>
      </c>
      <c r="E677" s="156">
        <v>44636</v>
      </c>
      <c r="F677" s="155">
        <v>28795</v>
      </c>
      <c r="G677" s="10" t="s">
        <v>1</v>
      </c>
      <c r="H677" s="107"/>
      <c r="I677" s="103">
        <v>0</v>
      </c>
      <c r="J677" s="103">
        <v>26.56</v>
      </c>
      <c r="K677" s="3" t="s">
        <v>294</v>
      </c>
      <c r="L677" s="3" t="s">
        <v>331</v>
      </c>
      <c r="M677" s="6"/>
      <c r="N677" s="6"/>
      <c r="O677" s="103">
        <v>32250</v>
      </c>
      <c r="P677" s="103" t="s">
        <v>286</v>
      </c>
      <c r="Q677" s="103">
        <v>26.56</v>
      </c>
      <c r="R677" s="103">
        <v>26.56</v>
      </c>
      <c r="S677" t="s">
        <v>433</v>
      </c>
      <c r="T677">
        <f t="shared" si="40"/>
        <v>764795.2</v>
      </c>
      <c r="U677">
        <f t="shared" si="41"/>
        <v>3455</v>
      </c>
      <c r="V677">
        <f t="shared" si="42"/>
        <v>856560</v>
      </c>
      <c r="W677">
        <f t="shared" si="43"/>
        <v>91764.800000000047</v>
      </c>
    </row>
    <row r="678" spans="1:23" x14ac:dyDescent="0.25">
      <c r="A678" s="204">
        <v>7203454549</v>
      </c>
      <c r="B678" s="204">
        <v>7203175930</v>
      </c>
      <c r="C678" s="126" t="s">
        <v>287</v>
      </c>
      <c r="D678" s="5">
        <v>6234000600</v>
      </c>
      <c r="E678" s="156">
        <v>44636</v>
      </c>
      <c r="F678" s="155">
        <v>28795</v>
      </c>
      <c r="G678" s="10" t="s">
        <v>1</v>
      </c>
      <c r="H678" s="107"/>
      <c r="I678" s="103">
        <v>0</v>
      </c>
      <c r="J678" s="103">
        <v>26.38</v>
      </c>
      <c r="K678" s="3" t="s">
        <v>295</v>
      </c>
      <c r="L678" s="3" t="s">
        <v>231</v>
      </c>
      <c r="M678" s="6"/>
      <c r="N678" s="6"/>
      <c r="O678" s="103">
        <v>32250</v>
      </c>
      <c r="P678" s="103" t="s">
        <v>286</v>
      </c>
      <c r="Q678" s="103">
        <v>26.38</v>
      </c>
      <c r="R678" s="103">
        <v>26.38</v>
      </c>
      <c r="S678" t="s">
        <v>433</v>
      </c>
      <c r="T678">
        <f t="shared" si="40"/>
        <v>759612.1</v>
      </c>
      <c r="U678">
        <f t="shared" si="41"/>
        <v>3455</v>
      </c>
      <c r="V678">
        <f t="shared" si="42"/>
        <v>850755</v>
      </c>
      <c r="W678">
        <f t="shared" si="43"/>
        <v>91142.900000000023</v>
      </c>
    </row>
    <row r="679" spans="1:23" x14ac:dyDescent="0.25">
      <c r="A679" s="204">
        <v>7203454549</v>
      </c>
      <c r="B679" s="204">
        <v>7203175930</v>
      </c>
      <c r="C679" s="126" t="s">
        <v>287</v>
      </c>
      <c r="D679" s="5">
        <v>6234000600</v>
      </c>
      <c r="E679" s="156">
        <v>44636</v>
      </c>
      <c r="F679" s="155">
        <v>27100</v>
      </c>
      <c r="G679" s="10" t="s">
        <v>421</v>
      </c>
      <c r="H679" s="204">
        <v>5506225174</v>
      </c>
      <c r="I679" s="103">
        <v>1600</v>
      </c>
      <c r="J679" s="103">
        <v>26.56</v>
      </c>
      <c r="K679" s="3" t="s">
        <v>296</v>
      </c>
      <c r="L679" s="3" t="s">
        <v>332</v>
      </c>
      <c r="M679" s="6"/>
      <c r="N679" s="6"/>
      <c r="O679" s="103">
        <v>32250</v>
      </c>
      <c r="P679" s="103" t="s">
        <v>286</v>
      </c>
      <c r="Q679" s="103">
        <v>26.56</v>
      </c>
      <c r="R679" s="103">
        <v>26.56</v>
      </c>
      <c r="S679" t="s">
        <v>433</v>
      </c>
      <c r="T679">
        <f t="shared" si="40"/>
        <v>762272</v>
      </c>
      <c r="U679">
        <f t="shared" si="41"/>
        <v>3550</v>
      </c>
      <c r="V679">
        <f t="shared" si="42"/>
        <v>856560</v>
      </c>
      <c r="W679">
        <f t="shared" si="43"/>
        <v>94288</v>
      </c>
    </row>
    <row r="680" spans="1:23" x14ac:dyDescent="0.25">
      <c r="A680" s="204">
        <v>7203454549</v>
      </c>
      <c r="B680" s="204">
        <v>7203175930</v>
      </c>
      <c r="C680" s="126" t="s">
        <v>287</v>
      </c>
      <c r="D680" s="5">
        <v>6234000600</v>
      </c>
      <c r="E680" s="156">
        <v>44636</v>
      </c>
      <c r="F680" s="155">
        <v>27100</v>
      </c>
      <c r="G680" s="10" t="s">
        <v>421</v>
      </c>
      <c r="H680" s="204">
        <v>5501132737</v>
      </c>
      <c r="I680" s="103">
        <v>1600</v>
      </c>
      <c r="J680" s="103">
        <v>26.28</v>
      </c>
      <c r="K680" s="3" t="s">
        <v>292</v>
      </c>
      <c r="L680" s="3" t="s">
        <v>23</v>
      </c>
      <c r="M680" s="6"/>
      <c r="N680" s="6"/>
      <c r="O680" s="103">
        <v>32250</v>
      </c>
      <c r="P680" s="103" t="s">
        <v>286</v>
      </c>
      <c r="Q680" s="103">
        <v>26.28</v>
      </c>
      <c r="R680" s="103">
        <v>26.28</v>
      </c>
      <c r="S680" t="s">
        <v>433</v>
      </c>
      <c r="T680">
        <f t="shared" si="40"/>
        <v>754236</v>
      </c>
      <c r="U680">
        <f t="shared" si="41"/>
        <v>3550</v>
      </c>
      <c r="V680">
        <f t="shared" si="42"/>
        <v>847530</v>
      </c>
      <c r="W680">
        <f t="shared" si="43"/>
        <v>93294</v>
      </c>
    </row>
    <row r="681" spans="1:23" x14ac:dyDescent="0.25">
      <c r="A681" s="204">
        <v>7203454549</v>
      </c>
      <c r="B681" s="204">
        <v>7203175930</v>
      </c>
      <c r="C681" s="126" t="s">
        <v>287</v>
      </c>
      <c r="D681" s="5">
        <v>6234000600</v>
      </c>
      <c r="E681" s="156">
        <v>44636</v>
      </c>
      <c r="F681" s="155">
        <v>27100</v>
      </c>
      <c r="G681" s="10" t="s">
        <v>421</v>
      </c>
      <c r="H681" s="204">
        <v>5501132737</v>
      </c>
      <c r="I681" s="103">
        <v>1600</v>
      </c>
      <c r="J681" s="103">
        <v>25.84</v>
      </c>
      <c r="K681" s="3" t="s">
        <v>297</v>
      </c>
      <c r="L681" s="3" t="s">
        <v>333</v>
      </c>
      <c r="M681" s="6"/>
      <c r="N681" s="6"/>
      <c r="O681" s="103">
        <v>32250</v>
      </c>
      <c r="P681" s="103" t="s">
        <v>286</v>
      </c>
      <c r="Q681" s="103">
        <v>25.84</v>
      </c>
      <c r="R681" s="103">
        <v>25.84</v>
      </c>
      <c r="S681" t="s">
        <v>433</v>
      </c>
      <c r="T681">
        <f t="shared" si="40"/>
        <v>741608</v>
      </c>
      <c r="U681">
        <f t="shared" si="41"/>
        <v>3550</v>
      </c>
      <c r="V681">
        <f t="shared" si="42"/>
        <v>833340</v>
      </c>
      <c r="W681">
        <f t="shared" si="43"/>
        <v>91732</v>
      </c>
    </row>
    <row r="682" spans="1:23" x14ac:dyDescent="0.25">
      <c r="A682" s="204">
        <v>7203454549</v>
      </c>
      <c r="B682" s="204">
        <v>7203175930</v>
      </c>
      <c r="C682" s="126" t="s">
        <v>287</v>
      </c>
      <c r="D682" s="5">
        <v>6234000600</v>
      </c>
      <c r="E682" s="156">
        <v>44636</v>
      </c>
      <c r="F682" s="155">
        <v>27100</v>
      </c>
      <c r="G682" s="10" t="s">
        <v>421</v>
      </c>
      <c r="H682" s="204">
        <v>5501132737</v>
      </c>
      <c r="I682" s="103">
        <v>1600</v>
      </c>
      <c r="J682" s="103">
        <v>26.02</v>
      </c>
      <c r="K682" s="3" t="s">
        <v>195</v>
      </c>
      <c r="L682" s="3" t="s">
        <v>238</v>
      </c>
      <c r="M682" s="6"/>
      <c r="N682" s="6"/>
      <c r="O682" s="103">
        <v>32250</v>
      </c>
      <c r="P682" s="103" t="s">
        <v>286</v>
      </c>
      <c r="Q682" s="103">
        <v>26.02</v>
      </c>
      <c r="R682" s="103">
        <v>26.02</v>
      </c>
      <c r="S682" t="s">
        <v>433</v>
      </c>
      <c r="T682">
        <f t="shared" si="40"/>
        <v>746774</v>
      </c>
      <c r="U682">
        <f t="shared" si="41"/>
        <v>3550</v>
      </c>
      <c r="V682">
        <f t="shared" si="42"/>
        <v>839145</v>
      </c>
      <c r="W682">
        <f t="shared" si="43"/>
        <v>92371</v>
      </c>
    </row>
    <row r="683" spans="1:23" x14ac:dyDescent="0.25">
      <c r="A683" s="204">
        <v>7203454549</v>
      </c>
      <c r="B683" s="204">
        <v>7203175930</v>
      </c>
      <c r="C683" s="126" t="s">
        <v>287</v>
      </c>
      <c r="D683" s="5">
        <v>6234000600</v>
      </c>
      <c r="E683" s="156">
        <v>44637</v>
      </c>
      <c r="F683" s="155">
        <v>27100</v>
      </c>
      <c r="G683" s="10" t="s">
        <v>421</v>
      </c>
      <c r="H683" s="204">
        <v>5501132737</v>
      </c>
      <c r="I683" s="103">
        <v>1600</v>
      </c>
      <c r="J683" s="103">
        <v>26.26</v>
      </c>
      <c r="K683" s="3" t="s">
        <v>292</v>
      </c>
      <c r="L683" s="3" t="s">
        <v>23</v>
      </c>
      <c r="M683" s="6"/>
      <c r="N683" s="6"/>
      <c r="O683" s="103">
        <v>32250</v>
      </c>
      <c r="P683" s="103" t="s">
        <v>286</v>
      </c>
      <c r="Q683" s="103">
        <v>26.26</v>
      </c>
      <c r="R683" s="103">
        <v>26.26</v>
      </c>
      <c r="S683" t="s">
        <v>433</v>
      </c>
      <c r="T683">
        <f t="shared" si="40"/>
        <v>753662</v>
      </c>
      <c r="U683">
        <f t="shared" si="41"/>
        <v>3550</v>
      </c>
      <c r="V683">
        <f t="shared" si="42"/>
        <v>846885</v>
      </c>
      <c r="W683">
        <f t="shared" si="43"/>
        <v>93223</v>
      </c>
    </row>
    <row r="684" spans="1:23" x14ac:dyDescent="0.25">
      <c r="A684" s="204">
        <v>7203454549</v>
      </c>
      <c r="B684" s="204">
        <v>7203175930</v>
      </c>
      <c r="C684" s="126" t="s">
        <v>287</v>
      </c>
      <c r="D684" s="5">
        <v>6234000600</v>
      </c>
      <c r="E684" s="156">
        <v>44637</v>
      </c>
      <c r="F684" s="155">
        <v>27100</v>
      </c>
      <c r="G684" s="10" t="s">
        <v>421</v>
      </c>
      <c r="H684" s="204">
        <v>5501132737</v>
      </c>
      <c r="I684" s="103">
        <v>1600</v>
      </c>
      <c r="J684" s="103">
        <v>26.36</v>
      </c>
      <c r="K684" s="3" t="s">
        <v>255</v>
      </c>
      <c r="L684" s="3" t="s">
        <v>334</v>
      </c>
      <c r="M684" s="6"/>
      <c r="N684" s="6"/>
      <c r="O684" s="103">
        <v>32250</v>
      </c>
      <c r="P684" s="103" t="s">
        <v>286</v>
      </c>
      <c r="Q684" s="103">
        <v>26.36</v>
      </c>
      <c r="R684" s="103">
        <v>26.36</v>
      </c>
      <c r="S684" t="s">
        <v>433</v>
      </c>
      <c r="T684">
        <f t="shared" si="40"/>
        <v>756532</v>
      </c>
      <c r="U684">
        <f t="shared" si="41"/>
        <v>3550</v>
      </c>
      <c r="V684">
        <f t="shared" si="42"/>
        <v>850110</v>
      </c>
      <c r="W684">
        <f t="shared" si="43"/>
        <v>93578</v>
      </c>
    </row>
    <row r="685" spans="1:23" x14ac:dyDescent="0.25">
      <c r="A685" s="204">
        <v>7203454549</v>
      </c>
      <c r="B685" s="204">
        <v>7203175930</v>
      </c>
      <c r="C685" s="126" t="s">
        <v>287</v>
      </c>
      <c r="D685" s="5">
        <v>6234000600</v>
      </c>
      <c r="E685" s="156">
        <v>44641</v>
      </c>
      <c r="F685" s="155">
        <v>27100</v>
      </c>
      <c r="G685" s="10" t="s">
        <v>421</v>
      </c>
      <c r="H685" s="204">
        <v>5501132737</v>
      </c>
      <c r="I685" s="103">
        <v>1600</v>
      </c>
      <c r="J685" s="103">
        <v>26.42</v>
      </c>
      <c r="K685" s="3" t="s">
        <v>266</v>
      </c>
      <c r="L685" s="3" t="s">
        <v>335</v>
      </c>
      <c r="M685" s="6"/>
      <c r="N685" s="6"/>
      <c r="O685" s="103">
        <v>32250</v>
      </c>
      <c r="P685" s="103" t="s">
        <v>286</v>
      </c>
      <c r="Q685" s="103">
        <v>26.42</v>
      </c>
      <c r="R685" s="103">
        <v>26.42</v>
      </c>
      <c r="S685" t="s">
        <v>433</v>
      </c>
      <c r="T685">
        <f t="shared" si="40"/>
        <v>758254</v>
      </c>
      <c r="U685">
        <f t="shared" si="41"/>
        <v>3550</v>
      </c>
      <c r="V685">
        <f t="shared" si="42"/>
        <v>852045</v>
      </c>
      <c r="W685">
        <f t="shared" si="43"/>
        <v>93791</v>
      </c>
    </row>
    <row r="686" spans="1:23" x14ac:dyDescent="0.25">
      <c r="A686" s="204">
        <v>7203454549</v>
      </c>
      <c r="B686" s="204">
        <v>7203175930</v>
      </c>
      <c r="C686" s="126" t="s">
        <v>287</v>
      </c>
      <c r="D686" s="5">
        <v>6234000600</v>
      </c>
      <c r="E686" s="156">
        <v>44641</v>
      </c>
      <c r="F686" s="155">
        <v>27100</v>
      </c>
      <c r="G686" s="10" t="s">
        <v>421</v>
      </c>
      <c r="H686" s="204">
        <v>5501132737</v>
      </c>
      <c r="I686" s="103">
        <v>1600</v>
      </c>
      <c r="J686" s="103">
        <v>26.48</v>
      </c>
      <c r="K686" s="3" t="s">
        <v>196</v>
      </c>
      <c r="L686" s="3" t="s">
        <v>239</v>
      </c>
      <c r="M686" s="6"/>
      <c r="N686" s="6"/>
      <c r="O686" s="103">
        <v>32250</v>
      </c>
      <c r="P686" s="103" t="s">
        <v>286</v>
      </c>
      <c r="Q686" s="103">
        <v>26.48</v>
      </c>
      <c r="R686" s="103">
        <v>26.48</v>
      </c>
      <c r="S686" t="s">
        <v>433</v>
      </c>
      <c r="T686">
        <f t="shared" si="40"/>
        <v>759976</v>
      </c>
      <c r="U686">
        <f t="shared" si="41"/>
        <v>3550</v>
      </c>
      <c r="V686">
        <f t="shared" si="42"/>
        <v>853980</v>
      </c>
      <c r="W686">
        <f t="shared" si="43"/>
        <v>94004</v>
      </c>
    </row>
    <row r="687" spans="1:23" x14ac:dyDescent="0.25">
      <c r="A687" s="204">
        <v>7203454549</v>
      </c>
      <c r="B687" s="204">
        <v>7203175930</v>
      </c>
      <c r="C687" s="126" t="s">
        <v>287</v>
      </c>
      <c r="D687" s="5">
        <v>6234000600</v>
      </c>
      <c r="E687" s="156">
        <v>44641</v>
      </c>
      <c r="F687" s="155">
        <v>27100</v>
      </c>
      <c r="G687" s="10" t="s">
        <v>421</v>
      </c>
      <c r="H687" s="204">
        <v>5501132737</v>
      </c>
      <c r="I687" s="103">
        <v>1600</v>
      </c>
      <c r="J687" s="103">
        <v>24.3</v>
      </c>
      <c r="K687" s="3" t="s">
        <v>298</v>
      </c>
      <c r="L687" s="3" t="s">
        <v>336</v>
      </c>
      <c r="M687" s="6"/>
      <c r="N687" s="6"/>
      <c r="O687" s="103">
        <v>32250</v>
      </c>
      <c r="P687" s="103" t="s">
        <v>286</v>
      </c>
      <c r="Q687" s="103">
        <v>24.3</v>
      </c>
      <c r="R687" s="103">
        <v>24.3</v>
      </c>
      <c r="S687" t="s">
        <v>433</v>
      </c>
      <c r="T687">
        <f t="shared" si="40"/>
        <v>697410</v>
      </c>
      <c r="U687">
        <f t="shared" si="41"/>
        <v>3550</v>
      </c>
      <c r="V687">
        <f t="shared" si="42"/>
        <v>783675</v>
      </c>
      <c r="W687">
        <f t="shared" si="43"/>
        <v>86265</v>
      </c>
    </row>
    <row r="688" spans="1:23" x14ac:dyDescent="0.25">
      <c r="A688" s="204">
        <v>7203454549</v>
      </c>
      <c r="B688" s="204">
        <v>7203175930</v>
      </c>
      <c r="C688" s="126" t="s">
        <v>287</v>
      </c>
      <c r="D688" s="5">
        <v>6234000600</v>
      </c>
      <c r="E688" s="156">
        <v>44641</v>
      </c>
      <c r="F688" s="155">
        <v>27100</v>
      </c>
      <c r="G688" s="10" t="s">
        <v>421</v>
      </c>
      <c r="H688" s="204">
        <v>5501132737</v>
      </c>
      <c r="I688" s="103">
        <v>1600</v>
      </c>
      <c r="J688" s="103">
        <v>24.52</v>
      </c>
      <c r="K688" s="3" t="s">
        <v>214</v>
      </c>
      <c r="L688" s="3" t="s">
        <v>250</v>
      </c>
      <c r="M688" s="6"/>
      <c r="N688" s="6"/>
      <c r="O688" s="103">
        <v>32250</v>
      </c>
      <c r="P688" s="103" t="s">
        <v>286</v>
      </c>
      <c r="Q688" s="103">
        <v>24.52</v>
      </c>
      <c r="R688" s="103">
        <v>24.52</v>
      </c>
      <c r="S688" t="s">
        <v>433</v>
      </c>
      <c r="T688">
        <f t="shared" si="40"/>
        <v>703724</v>
      </c>
      <c r="U688">
        <f t="shared" si="41"/>
        <v>3550</v>
      </c>
      <c r="V688">
        <f t="shared" si="42"/>
        <v>790770</v>
      </c>
      <c r="W688">
        <f t="shared" si="43"/>
        <v>87046</v>
      </c>
    </row>
    <row r="689" spans="1:23" x14ac:dyDescent="0.25">
      <c r="A689" s="204">
        <v>7203454549</v>
      </c>
      <c r="B689" s="204">
        <v>7203175930</v>
      </c>
      <c r="C689" s="126" t="s">
        <v>287</v>
      </c>
      <c r="D689" s="5">
        <v>6234000600</v>
      </c>
      <c r="E689" s="156">
        <v>44641</v>
      </c>
      <c r="F689" s="155">
        <v>27100</v>
      </c>
      <c r="G689" s="10" t="s">
        <v>421</v>
      </c>
      <c r="H689" s="204">
        <v>5501132737</v>
      </c>
      <c r="I689" s="103">
        <v>1600</v>
      </c>
      <c r="J689" s="103">
        <v>26.54</v>
      </c>
      <c r="K689" s="3" t="s">
        <v>189</v>
      </c>
      <c r="L689" s="3" t="s">
        <v>234</v>
      </c>
      <c r="M689" s="6"/>
      <c r="N689" s="6"/>
      <c r="O689" s="103">
        <v>32250</v>
      </c>
      <c r="P689" s="103" t="s">
        <v>286</v>
      </c>
      <c r="Q689" s="103">
        <v>26.54</v>
      </c>
      <c r="R689" s="103">
        <v>26.54</v>
      </c>
      <c r="S689" t="s">
        <v>433</v>
      </c>
      <c r="T689">
        <f t="shared" si="40"/>
        <v>761698</v>
      </c>
      <c r="U689">
        <f t="shared" si="41"/>
        <v>3550</v>
      </c>
      <c r="V689">
        <f t="shared" si="42"/>
        <v>855915</v>
      </c>
      <c r="W689">
        <f t="shared" si="43"/>
        <v>94217</v>
      </c>
    </row>
    <row r="690" spans="1:23" x14ac:dyDescent="0.25">
      <c r="A690" s="204">
        <v>7203454549</v>
      </c>
      <c r="B690" s="204">
        <v>7203175930</v>
      </c>
      <c r="C690" s="126" t="s">
        <v>287</v>
      </c>
      <c r="D690" s="5">
        <v>6234000600</v>
      </c>
      <c r="E690" s="156">
        <v>44643</v>
      </c>
      <c r="F690" s="155">
        <v>27100</v>
      </c>
      <c r="G690" s="10" t="s">
        <v>421</v>
      </c>
      <c r="H690" s="204">
        <v>5503182532</v>
      </c>
      <c r="I690" s="103">
        <v>1600</v>
      </c>
      <c r="J690" s="103">
        <v>26.1</v>
      </c>
      <c r="K690" s="3" t="s">
        <v>115</v>
      </c>
      <c r="L690" s="3"/>
      <c r="M690" s="6"/>
      <c r="N690" s="6"/>
      <c r="O690" s="103">
        <v>32250</v>
      </c>
      <c r="P690" s="103" t="s">
        <v>286</v>
      </c>
      <c r="Q690" s="103">
        <v>26.1</v>
      </c>
      <c r="R690" s="103">
        <v>26.1</v>
      </c>
      <c r="S690" t="s">
        <v>433</v>
      </c>
      <c r="T690">
        <f t="shared" si="40"/>
        <v>749070</v>
      </c>
      <c r="U690">
        <f t="shared" si="41"/>
        <v>3550</v>
      </c>
      <c r="V690">
        <f t="shared" si="42"/>
        <v>841725</v>
      </c>
      <c r="W690">
        <f t="shared" si="43"/>
        <v>92655</v>
      </c>
    </row>
    <row r="691" spans="1:23" x14ac:dyDescent="0.25">
      <c r="A691" s="204">
        <v>7203454549</v>
      </c>
      <c r="B691" s="204">
        <v>7203175930</v>
      </c>
      <c r="C691" s="126" t="s">
        <v>287</v>
      </c>
      <c r="D691" s="5">
        <v>6234000600</v>
      </c>
      <c r="E691" s="156">
        <v>44643</v>
      </c>
      <c r="F691" s="155">
        <v>27100</v>
      </c>
      <c r="G691" s="10" t="s">
        <v>421</v>
      </c>
      <c r="H691" s="204">
        <v>5503182532</v>
      </c>
      <c r="I691" s="103">
        <v>1600</v>
      </c>
      <c r="J691" s="103">
        <v>26</v>
      </c>
      <c r="K691" s="3" t="s">
        <v>257</v>
      </c>
      <c r="L691" s="3"/>
      <c r="M691" s="6"/>
      <c r="N691" s="6"/>
      <c r="O691" s="103">
        <v>32250</v>
      </c>
      <c r="P691" s="103" t="s">
        <v>286</v>
      </c>
      <c r="Q691" s="103">
        <v>26</v>
      </c>
      <c r="R691" s="103">
        <v>26</v>
      </c>
      <c r="S691" t="s">
        <v>433</v>
      </c>
      <c r="T691">
        <f t="shared" si="40"/>
        <v>746200</v>
      </c>
      <c r="U691">
        <f t="shared" si="41"/>
        <v>3550</v>
      </c>
      <c r="V691">
        <f t="shared" si="42"/>
        <v>838500</v>
      </c>
      <c r="W691">
        <f t="shared" si="43"/>
        <v>92300</v>
      </c>
    </row>
    <row r="692" spans="1:23" x14ac:dyDescent="0.25">
      <c r="A692" s="204">
        <v>7203454549</v>
      </c>
      <c r="B692" s="204">
        <v>7203175930</v>
      </c>
      <c r="C692" s="126" t="s">
        <v>338</v>
      </c>
      <c r="D692" s="5">
        <v>6234000600</v>
      </c>
      <c r="E692" s="156">
        <v>44655</v>
      </c>
      <c r="F692" s="155">
        <v>28626</v>
      </c>
      <c r="G692" s="5" t="s">
        <v>1</v>
      </c>
      <c r="H692" s="110"/>
      <c r="I692" s="108">
        <v>0</v>
      </c>
      <c r="J692" s="104">
        <v>25.94</v>
      </c>
      <c r="K692" s="6"/>
      <c r="L692" s="6"/>
      <c r="M692" s="6"/>
      <c r="N692" s="6"/>
      <c r="O692" s="109">
        <v>33900</v>
      </c>
      <c r="P692" s="103" t="s">
        <v>337</v>
      </c>
      <c r="Q692" s="104">
        <v>25.94</v>
      </c>
      <c r="R692" s="104">
        <v>25.94</v>
      </c>
      <c r="S692" t="s">
        <v>433</v>
      </c>
      <c r="T692">
        <f t="shared" si="40"/>
        <v>742558.44000000006</v>
      </c>
      <c r="U692">
        <f t="shared" si="41"/>
        <v>5274</v>
      </c>
      <c r="V692">
        <f t="shared" si="42"/>
        <v>879366</v>
      </c>
      <c r="W692">
        <f t="shared" si="43"/>
        <v>136807.55999999994</v>
      </c>
    </row>
    <row r="693" spans="1:23" x14ac:dyDescent="0.25">
      <c r="A693" s="204">
        <v>7203454549</v>
      </c>
      <c r="B693" s="204">
        <v>7203175930</v>
      </c>
      <c r="C693" s="126" t="s">
        <v>338</v>
      </c>
      <c r="D693" s="5">
        <v>6234000600</v>
      </c>
      <c r="E693" s="156">
        <v>44655</v>
      </c>
      <c r="F693" s="155">
        <v>28626</v>
      </c>
      <c r="G693" s="5" t="s">
        <v>1</v>
      </c>
      <c r="H693" s="110"/>
      <c r="I693" s="108">
        <v>0</v>
      </c>
      <c r="J693" s="104">
        <v>24.3</v>
      </c>
      <c r="K693" s="6"/>
      <c r="L693" s="6"/>
      <c r="M693" s="6"/>
      <c r="N693" s="6"/>
      <c r="O693" s="109">
        <v>33900</v>
      </c>
      <c r="P693" s="103" t="s">
        <v>337</v>
      </c>
      <c r="Q693" s="104">
        <v>24.3</v>
      </c>
      <c r="R693" s="104">
        <v>24.3</v>
      </c>
      <c r="S693" t="s">
        <v>433</v>
      </c>
      <c r="T693">
        <f t="shared" si="40"/>
        <v>695611.8</v>
      </c>
      <c r="U693">
        <f t="shared" si="41"/>
        <v>5274</v>
      </c>
      <c r="V693">
        <f t="shared" si="42"/>
        <v>823770</v>
      </c>
      <c r="W693">
        <f t="shared" si="43"/>
        <v>128158.19999999995</v>
      </c>
    </row>
    <row r="694" spans="1:23" x14ac:dyDescent="0.25">
      <c r="A694" s="204">
        <v>7203454549</v>
      </c>
      <c r="B694" s="204">
        <v>7203175930</v>
      </c>
      <c r="C694" s="126" t="s">
        <v>338</v>
      </c>
      <c r="D694" s="5">
        <v>6234000600</v>
      </c>
      <c r="E694" s="156">
        <v>44655</v>
      </c>
      <c r="F694" s="155">
        <v>28626</v>
      </c>
      <c r="G694" s="5" t="s">
        <v>1</v>
      </c>
      <c r="H694" s="110"/>
      <c r="I694" s="108">
        <v>0</v>
      </c>
      <c r="J694" s="104">
        <v>26.24</v>
      </c>
      <c r="K694" s="6"/>
      <c r="L694" s="6"/>
      <c r="M694" s="6"/>
      <c r="N694" s="6"/>
      <c r="O694" s="109">
        <v>33900</v>
      </c>
      <c r="P694" s="103" t="s">
        <v>337</v>
      </c>
      <c r="Q694" s="104">
        <v>26.24</v>
      </c>
      <c r="R694" s="104">
        <v>26.24</v>
      </c>
      <c r="S694" t="s">
        <v>433</v>
      </c>
      <c r="T694">
        <f t="shared" si="40"/>
        <v>751146.24</v>
      </c>
      <c r="U694">
        <f t="shared" si="41"/>
        <v>5274</v>
      </c>
      <c r="V694">
        <f t="shared" si="42"/>
        <v>889536</v>
      </c>
      <c r="W694">
        <f t="shared" si="43"/>
        <v>138389.76000000001</v>
      </c>
    </row>
    <row r="695" spans="1:23" x14ac:dyDescent="0.25">
      <c r="A695" s="204">
        <v>7203454549</v>
      </c>
      <c r="B695" s="204">
        <v>7203175930</v>
      </c>
      <c r="C695" s="126" t="s">
        <v>338</v>
      </c>
      <c r="D695" s="5">
        <v>6234000600</v>
      </c>
      <c r="E695" s="156">
        <v>44655</v>
      </c>
      <c r="F695" s="155">
        <v>28626</v>
      </c>
      <c r="G695" s="5" t="s">
        <v>1</v>
      </c>
      <c r="H695" s="110"/>
      <c r="I695" s="108">
        <v>0</v>
      </c>
      <c r="J695" s="104">
        <v>25.76</v>
      </c>
      <c r="K695" s="6"/>
      <c r="L695" s="6"/>
      <c r="M695" s="6"/>
      <c r="N695" s="6"/>
      <c r="O695" s="109">
        <v>33900</v>
      </c>
      <c r="P695" s="103" t="s">
        <v>337</v>
      </c>
      <c r="Q695" s="104">
        <v>25.76</v>
      </c>
      <c r="R695" s="104">
        <v>25.76</v>
      </c>
      <c r="S695" t="s">
        <v>433</v>
      </c>
      <c r="T695">
        <f t="shared" si="40"/>
        <v>737405.76</v>
      </c>
      <c r="U695">
        <f t="shared" si="41"/>
        <v>5274</v>
      </c>
      <c r="V695">
        <f t="shared" si="42"/>
        <v>873264</v>
      </c>
      <c r="W695">
        <f t="shared" si="43"/>
        <v>135858.23999999999</v>
      </c>
    </row>
    <row r="696" spans="1:23" x14ac:dyDescent="0.25">
      <c r="A696" s="204">
        <v>7203454549</v>
      </c>
      <c r="B696" s="204">
        <v>7203175930</v>
      </c>
      <c r="C696" s="126" t="s">
        <v>338</v>
      </c>
      <c r="D696" s="5">
        <v>6234000600</v>
      </c>
      <c r="E696" s="156">
        <v>44656</v>
      </c>
      <c r="F696" s="155">
        <v>29330</v>
      </c>
      <c r="G696" s="5" t="s">
        <v>1</v>
      </c>
      <c r="H696" s="110"/>
      <c r="I696" s="108">
        <v>0</v>
      </c>
      <c r="J696" s="104">
        <v>26.44</v>
      </c>
      <c r="K696" s="6"/>
      <c r="L696" s="6"/>
      <c r="M696" s="6"/>
      <c r="N696" s="6"/>
      <c r="O696" s="109">
        <v>33900</v>
      </c>
      <c r="P696" s="103" t="s">
        <v>337</v>
      </c>
      <c r="Q696" s="104">
        <v>26.44</v>
      </c>
      <c r="R696" s="104">
        <v>26.44</v>
      </c>
      <c r="S696" t="s">
        <v>433</v>
      </c>
      <c r="T696">
        <f t="shared" si="40"/>
        <v>775485.20000000007</v>
      </c>
      <c r="U696">
        <f t="shared" si="41"/>
        <v>4570</v>
      </c>
      <c r="V696">
        <f t="shared" si="42"/>
        <v>896316</v>
      </c>
      <c r="W696">
        <f t="shared" si="43"/>
        <v>120830.79999999993</v>
      </c>
    </row>
    <row r="697" spans="1:23" x14ac:dyDescent="0.25">
      <c r="A697" s="204">
        <v>7203454549</v>
      </c>
      <c r="B697" s="204">
        <v>7203175930</v>
      </c>
      <c r="C697" s="126" t="s">
        <v>338</v>
      </c>
      <c r="D697" s="5">
        <v>6234000600</v>
      </c>
      <c r="E697" s="156">
        <v>44656</v>
      </c>
      <c r="F697" s="155">
        <v>29330</v>
      </c>
      <c r="G697" s="5" t="s">
        <v>1</v>
      </c>
      <c r="H697" s="110"/>
      <c r="I697" s="108">
        <v>0</v>
      </c>
      <c r="J697" s="104">
        <v>26.14</v>
      </c>
      <c r="K697" s="6"/>
      <c r="L697" s="6"/>
      <c r="M697" s="6"/>
      <c r="N697" s="6"/>
      <c r="O697" s="109">
        <v>33900</v>
      </c>
      <c r="P697" s="103" t="s">
        <v>337</v>
      </c>
      <c r="Q697" s="104">
        <v>26.14</v>
      </c>
      <c r="R697" s="104">
        <v>26.14</v>
      </c>
      <c r="S697" t="s">
        <v>433</v>
      </c>
      <c r="T697">
        <f t="shared" si="40"/>
        <v>766686.20000000007</v>
      </c>
      <c r="U697">
        <f t="shared" si="41"/>
        <v>4570</v>
      </c>
      <c r="V697">
        <f t="shared" si="42"/>
        <v>886146</v>
      </c>
      <c r="W697">
        <f t="shared" si="43"/>
        <v>119459.79999999993</v>
      </c>
    </row>
    <row r="698" spans="1:23" x14ac:dyDescent="0.25">
      <c r="A698" s="204">
        <v>7203454549</v>
      </c>
      <c r="B698" s="204">
        <v>7203175930</v>
      </c>
      <c r="C698" s="126" t="s">
        <v>338</v>
      </c>
      <c r="D698" s="5">
        <v>6234000600</v>
      </c>
      <c r="E698" s="156">
        <v>44656</v>
      </c>
      <c r="F698" s="155">
        <v>29330</v>
      </c>
      <c r="G698" s="5" t="s">
        <v>1</v>
      </c>
      <c r="H698" s="110"/>
      <c r="I698" s="108">
        <v>0</v>
      </c>
      <c r="J698" s="104">
        <v>26.5</v>
      </c>
      <c r="K698" s="6"/>
      <c r="L698" s="6"/>
      <c r="M698" s="6"/>
      <c r="N698" s="6"/>
      <c r="O698" s="109">
        <v>33900</v>
      </c>
      <c r="P698" s="103" t="s">
        <v>337</v>
      </c>
      <c r="Q698" s="104">
        <v>26.5</v>
      </c>
      <c r="R698" s="104">
        <v>26.5</v>
      </c>
      <c r="S698" t="s">
        <v>433</v>
      </c>
      <c r="T698">
        <f t="shared" si="40"/>
        <v>777245</v>
      </c>
      <c r="U698">
        <f t="shared" si="41"/>
        <v>4570</v>
      </c>
      <c r="V698">
        <f t="shared" si="42"/>
        <v>898350</v>
      </c>
      <c r="W698">
        <f t="shared" si="43"/>
        <v>121105</v>
      </c>
    </row>
    <row r="699" spans="1:23" x14ac:dyDescent="0.25">
      <c r="A699" s="204">
        <v>7203454549</v>
      </c>
      <c r="B699" s="204">
        <v>7203175930</v>
      </c>
      <c r="C699" s="126" t="s">
        <v>338</v>
      </c>
      <c r="D699" s="5">
        <v>6234000600</v>
      </c>
      <c r="E699" s="156">
        <v>44657</v>
      </c>
      <c r="F699" s="155">
        <v>29330</v>
      </c>
      <c r="G699" s="5" t="s">
        <v>1</v>
      </c>
      <c r="H699" s="110"/>
      <c r="I699" s="108">
        <v>0</v>
      </c>
      <c r="J699" s="104">
        <v>26.1</v>
      </c>
      <c r="K699" s="6"/>
      <c r="L699" s="6"/>
      <c r="M699" s="6"/>
      <c r="N699" s="6"/>
      <c r="O699" s="109">
        <v>33900</v>
      </c>
      <c r="P699" s="103" t="s">
        <v>337</v>
      </c>
      <c r="Q699" s="104">
        <v>26.1</v>
      </c>
      <c r="R699" s="104">
        <v>26.1</v>
      </c>
      <c r="S699" t="s">
        <v>433</v>
      </c>
      <c r="T699">
        <f t="shared" si="40"/>
        <v>765513</v>
      </c>
      <c r="U699">
        <f t="shared" si="41"/>
        <v>4570</v>
      </c>
      <c r="V699">
        <f t="shared" si="42"/>
        <v>884790</v>
      </c>
      <c r="W699">
        <f t="shared" si="43"/>
        <v>119277</v>
      </c>
    </row>
    <row r="700" spans="1:23" x14ac:dyDescent="0.25">
      <c r="A700" s="204">
        <v>7203454549</v>
      </c>
      <c r="B700" s="204">
        <v>7203175930</v>
      </c>
      <c r="C700" s="126" t="s">
        <v>338</v>
      </c>
      <c r="D700" s="5">
        <v>6234000600</v>
      </c>
      <c r="E700" s="156">
        <v>44657</v>
      </c>
      <c r="F700" s="155">
        <v>29330</v>
      </c>
      <c r="G700" s="5" t="s">
        <v>1</v>
      </c>
      <c r="H700" s="110"/>
      <c r="I700" s="108">
        <v>0</v>
      </c>
      <c r="J700" s="104">
        <v>26.18</v>
      </c>
      <c r="K700" s="6"/>
      <c r="L700" s="6"/>
      <c r="M700" s="6"/>
      <c r="N700" s="6"/>
      <c r="O700" s="109">
        <v>33900</v>
      </c>
      <c r="P700" s="103" t="s">
        <v>337</v>
      </c>
      <c r="Q700" s="104">
        <v>26.18</v>
      </c>
      <c r="R700" s="104">
        <v>26.18</v>
      </c>
      <c r="S700" t="s">
        <v>433</v>
      </c>
      <c r="T700">
        <f t="shared" si="40"/>
        <v>767859.4</v>
      </c>
      <c r="U700">
        <f t="shared" si="41"/>
        <v>4570</v>
      </c>
      <c r="V700">
        <f t="shared" si="42"/>
        <v>887502</v>
      </c>
      <c r="W700">
        <f t="shared" si="43"/>
        <v>119642.59999999998</v>
      </c>
    </row>
    <row r="701" spans="1:23" x14ac:dyDescent="0.25">
      <c r="A701" s="204">
        <v>7203454549</v>
      </c>
      <c r="B701" s="204">
        <v>7203175930</v>
      </c>
      <c r="C701" s="126" t="s">
        <v>338</v>
      </c>
      <c r="D701" s="5">
        <v>6234000600</v>
      </c>
      <c r="E701" s="156">
        <v>44657</v>
      </c>
      <c r="F701" s="155">
        <v>29330</v>
      </c>
      <c r="G701" s="5" t="s">
        <v>1</v>
      </c>
      <c r="H701" s="110"/>
      <c r="I701" s="108">
        <v>0</v>
      </c>
      <c r="J701" s="104">
        <v>26</v>
      </c>
      <c r="K701" s="6"/>
      <c r="L701" s="6"/>
      <c r="M701" s="6"/>
      <c r="N701" s="6"/>
      <c r="O701" s="109">
        <v>33900</v>
      </c>
      <c r="P701" s="103" t="s">
        <v>337</v>
      </c>
      <c r="Q701" s="104">
        <v>26</v>
      </c>
      <c r="R701" s="104">
        <v>26</v>
      </c>
      <c r="S701" t="s">
        <v>433</v>
      </c>
      <c r="T701">
        <f t="shared" si="40"/>
        <v>762580</v>
      </c>
      <c r="U701">
        <f t="shared" si="41"/>
        <v>4570</v>
      </c>
      <c r="V701">
        <f t="shared" si="42"/>
        <v>881400</v>
      </c>
      <c r="W701">
        <f t="shared" si="43"/>
        <v>118820</v>
      </c>
    </row>
    <row r="702" spans="1:23" x14ac:dyDescent="0.25">
      <c r="A702" s="204">
        <v>7203454549</v>
      </c>
      <c r="B702" s="204">
        <v>7203175930</v>
      </c>
      <c r="C702" s="126" t="s">
        <v>338</v>
      </c>
      <c r="D702" s="5">
        <v>6234000600</v>
      </c>
      <c r="E702" s="156">
        <v>44657</v>
      </c>
      <c r="F702" s="155">
        <v>29330</v>
      </c>
      <c r="G702" s="5" t="s">
        <v>1</v>
      </c>
      <c r="H702" s="110"/>
      <c r="I702" s="108">
        <v>0</v>
      </c>
      <c r="J702" s="104">
        <v>26.04</v>
      </c>
      <c r="K702" s="6"/>
      <c r="L702" s="6"/>
      <c r="M702" s="6"/>
      <c r="N702" s="6"/>
      <c r="O702" s="109">
        <v>33900</v>
      </c>
      <c r="P702" s="103" t="s">
        <v>337</v>
      </c>
      <c r="Q702" s="104">
        <v>26.04</v>
      </c>
      <c r="R702" s="104">
        <v>26.04</v>
      </c>
      <c r="S702" t="s">
        <v>433</v>
      </c>
      <c r="T702">
        <f t="shared" si="40"/>
        <v>763753.2</v>
      </c>
      <c r="U702">
        <f t="shared" si="41"/>
        <v>4570</v>
      </c>
      <c r="V702">
        <f t="shared" si="42"/>
        <v>882756</v>
      </c>
      <c r="W702">
        <f t="shared" si="43"/>
        <v>119002.80000000005</v>
      </c>
    </row>
    <row r="703" spans="1:23" x14ac:dyDescent="0.25">
      <c r="A703" s="204">
        <v>7203454549</v>
      </c>
      <c r="B703" s="204">
        <v>7203175930</v>
      </c>
      <c r="C703" s="126" t="s">
        <v>338</v>
      </c>
      <c r="D703" s="5">
        <v>6234000600</v>
      </c>
      <c r="E703" s="156">
        <v>44657</v>
      </c>
      <c r="F703" s="155">
        <v>29330</v>
      </c>
      <c r="G703" s="5" t="s">
        <v>1</v>
      </c>
      <c r="H703" s="110"/>
      <c r="I703" s="108">
        <v>0</v>
      </c>
      <c r="J703" s="104">
        <v>26.48</v>
      </c>
      <c r="K703" s="6"/>
      <c r="L703" s="6"/>
      <c r="M703" s="6"/>
      <c r="N703" s="6"/>
      <c r="O703" s="109">
        <v>33900</v>
      </c>
      <c r="P703" s="103" t="s">
        <v>337</v>
      </c>
      <c r="Q703" s="104">
        <v>26.48</v>
      </c>
      <c r="R703" s="104">
        <v>26.48</v>
      </c>
      <c r="S703" t="s">
        <v>433</v>
      </c>
      <c r="T703">
        <f t="shared" si="40"/>
        <v>776658.4</v>
      </c>
      <c r="U703">
        <f t="shared" si="41"/>
        <v>4570</v>
      </c>
      <c r="V703">
        <f t="shared" si="42"/>
        <v>897672</v>
      </c>
      <c r="W703">
        <f t="shared" si="43"/>
        <v>121013.59999999998</v>
      </c>
    </row>
    <row r="704" spans="1:23" x14ac:dyDescent="0.25">
      <c r="A704" s="204">
        <v>7203454549</v>
      </c>
      <c r="B704" s="204">
        <v>7203175930</v>
      </c>
      <c r="C704" s="126" t="s">
        <v>338</v>
      </c>
      <c r="D704" s="5">
        <v>6234000600</v>
      </c>
      <c r="E704" s="156">
        <v>44657</v>
      </c>
      <c r="F704" s="155">
        <v>29330</v>
      </c>
      <c r="G704" s="5" t="s">
        <v>1</v>
      </c>
      <c r="H704" s="110"/>
      <c r="I704" s="108">
        <v>0</v>
      </c>
      <c r="J704" s="104">
        <v>24.34</v>
      </c>
      <c r="K704" s="6"/>
      <c r="L704" s="6"/>
      <c r="M704" s="6"/>
      <c r="N704" s="6"/>
      <c r="O704" s="109">
        <v>33900</v>
      </c>
      <c r="P704" s="103" t="s">
        <v>337</v>
      </c>
      <c r="Q704" s="104">
        <v>24.34</v>
      </c>
      <c r="R704" s="104">
        <v>24.34</v>
      </c>
      <c r="S704" t="s">
        <v>433</v>
      </c>
      <c r="T704">
        <f t="shared" si="40"/>
        <v>713892.2</v>
      </c>
      <c r="U704">
        <f t="shared" si="41"/>
        <v>4570</v>
      </c>
      <c r="V704">
        <f t="shared" si="42"/>
        <v>825126</v>
      </c>
      <c r="W704">
        <f t="shared" si="43"/>
        <v>111233.80000000005</v>
      </c>
    </row>
    <row r="705" spans="1:23" x14ac:dyDescent="0.25">
      <c r="A705" s="204">
        <v>7203454549</v>
      </c>
      <c r="B705" s="204">
        <v>7203175930</v>
      </c>
      <c r="C705" s="126" t="s">
        <v>338</v>
      </c>
      <c r="D705" s="5">
        <v>6234000600</v>
      </c>
      <c r="E705" s="156">
        <v>44658</v>
      </c>
      <c r="F705" s="155">
        <v>27500</v>
      </c>
      <c r="G705" s="5" t="s">
        <v>421</v>
      </c>
      <c r="H705" s="204">
        <v>5501132737</v>
      </c>
      <c r="I705" s="108">
        <v>2800</v>
      </c>
      <c r="J705" s="104">
        <v>26.3</v>
      </c>
      <c r="K705" s="6"/>
      <c r="L705" s="6"/>
      <c r="M705" s="6"/>
      <c r="N705" s="6"/>
      <c r="O705" s="109">
        <v>33900</v>
      </c>
      <c r="P705" s="103" t="s">
        <v>337</v>
      </c>
      <c r="Q705" s="104">
        <v>26.3</v>
      </c>
      <c r="R705" s="104">
        <v>26.3</v>
      </c>
      <c r="S705" t="s">
        <v>433</v>
      </c>
      <c r="T705">
        <f t="shared" si="40"/>
        <v>796890</v>
      </c>
      <c r="U705">
        <f t="shared" si="41"/>
        <v>3600</v>
      </c>
      <c r="V705">
        <f t="shared" si="42"/>
        <v>891570</v>
      </c>
      <c r="W705">
        <f t="shared" si="43"/>
        <v>94680</v>
      </c>
    </row>
    <row r="706" spans="1:23" x14ac:dyDescent="0.25">
      <c r="A706" s="204">
        <v>7203454549</v>
      </c>
      <c r="B706" s="204">
        <v>7203175930</v>
      </c>
      <c r="C706" s="126" t="s">
        <v>338</v>
      </c>
      <c r="D706" s="5">
        <v>6234000600</v>
      </c>
      <c r="E706" s="156">
        <v>44658</v>
      </c>
      <c r="F706" s="155">
        <v>27500</v>
      </c>
      <c r="G706" s="5" t="s">
        <v>421</v>
      </c>
      <c r="H706" s="204">
        <v>5501132737</v>
      </c>
      <c r="I706" s="108">
        <v>2800</v>
      </c>
      <c r="J706" s="104">
        <v>26.08</v>
      </c>
      <c r="K706" s="6"/>
      <c r="L706" s="6"/>
      <c r="M706" s="6"/>
      <c r="N706" s="6"/>
      <c r="O706" s="109">
        <v>33900</v>
      </c>
      <c r="P706" s="103" t="s">
        <v>337</v>
      </c>
      <c r="Q706" s="104">
        <v>26.08</v>
      </c>
      <c r="R706" s="104">
        <v>26.08</v>
      </c>
      <c r="S706" t="s">
        <v>433</v>
      </c>
      <c r="T706">
        <f t="shared" si="40"/>
        <v>790224</v>
      </c>
      <c r="U706">
        <f t="shared" si="41"/>
        <v>3600</v>
      </c>
      <c r="V706">
        <f t="shared" si="42"/>
        <v>884112</v>
      </c>
      <c r="W706">
        <f t="shared" si="43"/>
        <v>93888</v>
      </c>
    </row>
    <row r="707" spans="1:23" x14ac:dyDescent="0.25">
      <c r="A707" s="204">
        <v>7203454549</v>
      </c>
      <c r="B707" s="204">
        <v>7203175930</v>
      </c>
      <c r="C707" s="126" t="s">
        <v>338</v>
      </c>
      <c r="D707" s="5">
        <v>6234000600</v>
      </c>
      <c r="E707" s="156">
        <v>44658</v>
      </c>
      <c r="F707" s="155">
        <v>27500</v>
      </c>
      <c r="G707" s="5" t="s">
        <v>421</v>
      </c>
      <c r="H707" s="204">
        <v>5501132737</v>
      </c>
      <c r="I707" s="108">
        <v>2800</v>
      </c>
      <c r="J707" s="104">
        <v>26.14</v>
      </c>
      <c r="K707" s="6"/>
      <c r="L707" s="6"/>
      <c r="M707" s="6"/>
      <c r="N707" s="6"/>
      <c r="O707" s="109">
        <v>33900</v>
      </c>
      <c r="P707" s="103" t="s">
        <v>337</v>
      </c>
      <c r="Q707" s="104">
        <v>26.14</v>
      </c>
      <c r="R707" s="104">
        <v>26.14</v>
      </c>
      <c r="S707" t="s">
        <v>433</v>
      </c>
      <c r="T707">
        <f t="shared" ref="T707:T770" si="44">(I707+F707)*J707</f>
        <v>792042</v>
      </c>
      <c r="U707">
        <f t="shared" ref="U707:U770" si="45">O707-(F707+I707)</f>
        <v>3600</v>
      </c>
      <c r="V707">
        <f t="shared" ref="V707:V770" si="46">O707*J707</f>
        <v>886146</v>
      </c>
      <c r="W707">
        <f t="shared" ref="W707:W770" si="47">V707-T707</f>
        <v>94104</v>
      </c>
    </row>
    <row r="708" spans="1:23" x14ac:dyDescent="0.25">
      <c r="A708" s="204">
        <v>7203454549</v>
      </c>
      <c r="B708" s="204">
        <v>7203175930</v>
      </c>
      <c r="C708" s="126" t="s">
        <v>338</v>
      </c>
      <c r="D708" s="5">
        <v>6234000600</v>
      </c>
      <c r="E708" s="156">
        <v>44658</v>
      </c>
      <c r="F708" s="155">
        <v>27500</v>
      </c>
      <c r="G708" s="5" t="s">
        <v>421</v>
      </c>
      <c r="H708" s="204">
        <v>5501132737</v>
      </c>
      <c r="I708" s="108">
        <v>2800</v>
      </c>
      <c r="J708" s="104">
        <v>26.22</v>
      </c>
      <c r="K708" s="6"/>
      <c r="L708" s="6"/>
      <c r="M708" s="6"/>
      <c r="N708" s="6"/>
      <c r="O708" s="109">
        <v>33900</v>
      </c>
      <c r="P708" s="103" t="s">
        <v>337</v>
      </c>
      <c r="Q708" s="104">
        <v>26.22</v>
      </c>
      <c r="R708" s="104">
        <v>26.22</v>
      </c>
      <c r="S708" t="s">
        <v>433</v>
      </c>
      <c r="T708">
        <f t="shared" si="44"/>
        <v>794466</v>
      </c>
      <c r="U708">
        <f t="shared" si="45"/>
        <v>3600</v>
      </c>
      <c r="V708">
        <f t="shared" si="46"/>
        <v>888858</v>
      </c>
      <c r="W708">
        <f t="shared" si="47"/>
        <v>94392</v>
      </c>
    </row>
    <row r="709" spans="1:23" x14ac:dyDescent="0.25">
      <c r="A709" s="204">
        <v>7203454549</v>
      </c>
      <c r="B709" s="204">
        <v>7203175930</v>
      </c>
      <c r="C709" s="126" t="s">
        <v>338</v>
      </c>
      <c r="D709" s="5">
        <v>6234000600</v>
      </c>
      <c r="E709" s="156">
        <v>44658</v>
      </c>
      <c r="F709" s="155">
        <v>27500</v>
      </c>
      <c r="G709" s="5" t="s">
        <v>421</v>
      </c>
      <c r="H709" s="204">
        <v>5503182532</v>
      </c>
      <c r="I709" s="108">
        <v>2600</v>
      </c>
      <c r="J709" s="104">
        <v>26.06</v>
      </c>
      <c r="K709" s="6"/>
      <c r="L709" s="6"/>
      <c r="M709" s="6"/>
      <c r="N709" s="6"/>
      <c r="O709" s="109">
        <v>33900</v>
      </c>
      <c r="P709" s="103" t="s">
        <v>337</v>
      </c>
      <c r="Q709" s="104">
        <v>26.06</v>
      </c>
      <c r="R709" s="104">
        <v>26.06</v>
      </c>
      <c r="S709" t="s">
        <v>433</v>
      </c>
      <c r="T709">
        <f t="shared" si="44"/>
        <v>784406</v>
      </c>
      <c r="U709">
        <f t="shared" si="45"/>
        <v>3800</v>
      </c>
      <c r="V709">
        <f t="shared" si="46"/>
        <v>883434</v>
      </c>
      <c r="W709">
        <f t="shared" si="47"/>
        <v>99028</v>
      </c>
    </row>
    <row r="710" spans="1:23" x14ac:dyDescent="0.25">
      <c r="A710" s="204">
        <v>7203454549</v>
      </c>
      <c r="B710" s="204">
        <v>7203175930</v>
      </c>
      <c r="C710" s="126" t="s">
        <v>338</v>
      </c>
      <c r="D710" s="5">
        <v>6234000600</v>
      </c>
      <c r="E710" s="156">
        <v>44659</v>
      </c>
      <c r="F710" s="155">
        <v>27500</v>
      </c>
      <c r="G710" s="5" t="s">
        <v>421</v>
      </c>
      <c r="H710" s="204">
        <v>5501132737</v>
      </c>
      <c r="I710" s="108">
        <v>2800</v>
      </c>
      <c r="J710" s="104">
        <v>26.48</v>
      </c>
      <c r="K710" s="6"/>
      <c r="L710" s="6"/>
      <c r="M710" s="6"/>
      <c r="N710" s="6"/>
      <c r="O710" s="109">
        <v>33900</v>
      </c>
      <c r="P710" s="103" t="s">
        <v>337</v>
      </c>
      <c r="Q710" s="104">
        <v>26.48</v>
      </c>
      <c r="R710" s="104">
        <v>26.48</v>
      </c>
      <c r="S710" t="s">
        <v>433</v>
      </c>
      <c r="T710">
        <f t="shared" si="44"/>
        <v>802344</v>
      </c>
      <c r="U710">
        <f t="shared" si="45"/>
        <v>3600</v>
      </c>
      <c r="V710">
        <f t="shared" si="46"/>
        <v>897672</v>
      </c>
      <c r="W710">
        <f t="shared" si="47"/>
        <v>95328</v>
      </c>
    </row>
    <row r="711" spans="1:23" x14ac:dyDescent="0.25">
      <c r="A711" s="204">
        <v>7203454549</v>
      </c>
      <c r="B711" s="204">
        <v>7203175930</v>
      </c>
      <c r="C711" s="126" t="s">
        <v>338</v>
      </c>
      <c r="D711" s="5">
        <v>6234000600</v>
      </c>
      <c r="E711" s="156">
        <v>44659</v>
      </c>
      <c r="F711" s="155">
        <v>27500</v>
      </c>
      <c r="G711" s="5" t="s">
        <v>421</v>
      </c>
      <c r="H711" s="204">
        <v>5501132737</v>
      </c>
      <c r="I711" s="108">
        <v>2800</v>
      </c>
      <c r="J711" s="104">
        <v>24.38</v>
      </c>
      <c r="K711" s="6"/>
      <c r="L711" s="6"/>
      <c r="M711" s="6"/>
      <c r="N711" s="6"/>
      <c r="O711" s="109">
        <v>33900</v>
      </c>
      <c r="P711" s="103" t="s">
        <v>337</v>
      </c>
      <c r="Q711" s="104">
        <v>24.38</v>
      </c>
      <c r="R711" s="104">
        <v>24.38</v>
      </c>
      <c r="S711" t="s">
        <v>433</v>
      </c>
      <c r="T711">
        <f t="shared" si="44"/>
        <v>738714</v>
      </c>
      <c r="U711">
        <f t="shared" si="45"/>
        <v>3600</v>
      </c>
      <c r="V711">
        <f t="shared" si="46"/>
        <v>826482</v>
      </c>
      <c r="W711">
        <f t="shared" si="47"/>
        <v>87768</v>
      </c>
    </row>
    <row r="712" spans="1:23" x14ac:dyDescent="0.25">
      <c r="A712" s="204">
        <v>7203454549</v>
      </c>
      <c r="B712" s="204">
        <v>7203175930</v>
      </c>
      <c r="C712" s="126" t="s">
        <v>338</v>
      </c>
      <c r="D712" s="5">
        <v>6234000600</v>
      </c>
      <c r="E712" s="156">
        <v>44659</v>
      </c>
      <c r="F712" s="155">
        <v>27500</v>
      </c>
      <c r="G712" s="5" t="s">
        <v>421</v>
      </c>
      <c r="H712" s="204">
        <v>5501132737</v>
      </c>
      <c r="I712" s="108">
        <v>2800</v>
      </c>
      <c r="J712" s="104">
        <v>26.02</v>
      </c>
      <c r="K712" s="6"/>
      <c r="L712" s="6"/>
      <c r="M712" s="6"/>
      <c r="N712" s="6"/>
      <c r="O712" s="109">
        <v>33900</v>
      </c>
      <c r="P712" s="103" t="s">
        <v>337</v>
      </c>
      <c r="Q712" s="104">
        <v>26.02</v>
      </c>
      <c r="R712" s="104">
        <v>26.02</v>
      </c>
      <c r="S712" t="s">
        <v>433</v>
      </c>
      <c r="T712">
        <f t="shared" si="44"/>
        <v>788406</v>
      </c>
      <c r="U712">
        <f t="shared" si="45"/>
        <v>3600</v>
      </c>
      <c r="V712">
        <f t="shared" si="46"/>
        <v>882078</v>
      </c>
      <c r="W712">
        <f t="shared" si="47"/>
        <v>93672</v>
      </c>
    </row>
    <row r="713" spans="1:23" x14ac:dyDescent="0.25">
      <c r="A713" s="204">
        <v>7203454549</v>
      </c>
      <c r="B713" s="204">
        <v>7203175930</v>
      </c>
      <c r="C713" s="126" t="s">
        <v>338</v>
      </c>
      <c r="D713" s="5">
        <v>6234000600</v>
      </c>
      <c r="E713" s="156">
        <v>44659</v>
      </c>
      <c r="F713" s="155">
        <v>27500</v>
      </c>
      <c r="G713" s="5" t="s">
        <v>421</v>
      </c>
      <c r="H713" s="204">
        <v>5501132737</v>
      </c>
      <c r="I713" s="108">
        <v>2800</v>
      </c>
      <c r="J713" s="104">
        <v>26.28</v>
      </c>
      <c r="K713" s="6"/>
      <c r="L713" s="6"/>
      <c r="M713" s="6"/>
      <c r="N713" s="6"/>
      <c r="O713" s="109">
        <v>33900</v>
      </c>
      <c r="P713" s="103" t="s">
        <v>337</v>
      </c>
      <c r="Q713" s="104">
        <v>26.28</v>
      </c>
      <c r="R713" s="104">
        <v>26.28</v>
      </c>
      <c r="S713" t="s">
        <v>433</v>
      </c>
      <c r="T713">
        <f t="shared" si="44"/>
        <v>796284</v>
      </c>
      <c r="U713">
        <f t="shared" si="45"/>
        <v>3600</v>
      </c>
      <c r="V713">
        <f t="shared" si="46"/>
        <v>890892</v>
      </c>
      <c r="W713">
        <f t="shared" si="47"/>
        <v>94608</v>
      </c>
    </row>
    <row r="714" spans="1:23" x14ac:dyDescent="0.25">
      <c r="A714" s="204">
        <v>7203454549</v>
      </c>
      <c r="B714" s="204">
        <v>7203175930</v>
      </c>
      <c r="C714" s="126" t="s">
        <v>338</v>
      </c>
      <c r="D714" s="5">
        <v>6234000600</v>
      </c>
      <c r="E714" s="156">
        <v>44661</v>
      </c>
      <c r="F714" s="155">
        <v>27500</v>
      </c>
      <c r="G714" s="5" t="s">
        <v>421</v>
      </c>
      <c r="H714" s="204">
        <v>5501132737</v>
      </c>
      <c r="I714" s="108">
        <v>2800</v>
      </c>
      <c r="J714" s="104">
        <v>26.1</v>
      </c>
      <c r="K714" s="6"/>
      <c r="L714" s="6"/>
      <c r="M714" s="6"/>
      <c r="N714" s="6"/>
      <c r="O714" s="109">
        <v>33900</v>
      </c>
      <c r="P714" s="103" t="s">
        <v>337</v>
      </c>
      <c r="Q714" s="104">
        <v>26.1</v>
      </c>
      <c r="R714" s="104">
        <v>26.1</v>
      </c>
      <c r="S714" t="s">
        <v>433</v>
      </c>
      <c r="T714">
        <f t="shared" si="44"/>
        <v>790830</v>
      </c>
      <c r="U714">
        <f t="shared" si="45"/>
        <v>3600</v>
      </c>
      <c r="V714">
        <f t="shared" si="46"/>
        <v>884790</v>
      </c>
      <c r="W714">
        <f t="shared" si="47"/>
        <v>93960</v>
      </c>
    </row>
    <row r="715" spans="1:23" x14ac:dyDescent="0.25">
      <c r="A715" s="204">
        <v>7203454549</v>
      </c>
      <c r="B715" s="204">
        <v>7203175930</v>
      </c>
      <c r="C715" s="126" t="s">
        <v>338</v>
      </c>
      <c r="D715" s="5">
        <v>6234000600</v>
      </c>
      <c r="E715" s="156">
        <v>44661</v>
      </c>
      <c r="F715" s="155">
        <v>27500</v>
      </c>
      <c r="G715" s="5" t="s">
        <v>421</v>
      </c>
      <c r="H715" s="204">
        <v>5501132737</v>
      </c>
      <c r="I715" s="108">
        <v>2800</v>
      </c>
      <c r="J715" s="104">
        <v>26</v>
      </c>
      <c r="K715" s="6"/>
      <c r="L715" s="6"/>
      <c r="M715" s="6"/>
      <c r="N715" s="6"/>
      <c r="O715" s="109">
        <v>33900</v>
      </c>
      <c r="P715" s="103" t="s">
        <v>337</v>
      </c>
      <c r="Q715" s="104">
        <v>26</v>
      </c>
      <c r="R715" s="104">
        <v>26</v>
      </c>
      <c r="S715" t="s">
        <v>433</v>
      </c>
      <c r="T715">
        <f t="shared" si="44"/>
        <v>787800</v>
      </c>
      <c r="U715">
        <f t="shared" si="45"/>
        <v>3600</v>
      </c>
      <c r="V715">
        <f t="shared" si="46"/>
        <v>881400</v>
      </c>
      <c r="W715">
        <f t="shared" si="47"/>
        <v>93600</v>
      </c>
    </row>
    <row r="716" spans="1:23" x14ac:dyDescent="0.25">
      <c r="A716" s="204">
        <v>7203454549</v>
      </c>
      <c r="B716" s="204">
        <v>7203175930</v>
      </c>
      <c r="C716" s="126" t="s">
        <v>338</v>
      </c>
      <c r="D716" s="5">
        <v>6234000600</v>
      </c>
      <c r="E716" s="156">
        <v>44661</v>
      </c>
      <c r="F716" s="155">
        <v>27500</v>
      </c>
      <c r="G716" s="5" t="s">
        <v>421</v>
      </c>
      <c r="H716" s="204">
        <v>5501132737</v>
      </c>
      <c r="I716" s="108">
        <v>2800</v>
      </c>
      <c r="J716" s="104">
        <v>26.14</v>
      </c>
      <c r="K716" s="6"/>
      <c r="L716" s="6"/>
      <c r="M716" s="6"/>
      <c r="N716" s="6"/>
      <c r="O716" s="109">
        <v>33900</v>
      </c>
      <c r="P716" s="103" t="s">
        <v>337</v>
      </c>
      <c r="Q716" s="104">
        <v>26.14</v>
      </c>
      <c r="R716" s="104">
        <v>26.14</v>
      </c>
      <c r="S716" t="s">
        <v>433</v>
      </c>
      <c r="T716">
        <f t="shared" si="44"/>
        <v>792042</v>
      </c>
      <c r="U716">
        <f t="shared" si="45"/>
        <v>3600</v>
      </c>
      <c r="V716">
        <f t="shared" si="46"/>
        <v>886146</v>
      </c>
      <c r="W716">
        <f t="shared" si="47"/>
        <v>94104</v>
      </c>
    </row>
    <row r="717" spans="1:23" x14ac:dyDescent="0.25">
      <c r="A717" s="204">
        <v>7203454549</v>
      </c>
      <c r="B717" s="204">
        <v>7203175930</v>
      </c>
      <c r="C717" s="126" t="s">
        <v>338</v>
      </c>
      <c r="D717" s="5">
        <v>6234000600</v>
      </c>
      <c r="E717" s="156">
        <v>44662</v>
      </c>
      <c r="F717" s="155">
        <v>27500</v>
      </c>
      <c r="G717" s="5" t="s">
        <v>421</v>
      </c>
      <c r="H717" s="204">
        <v>5501132737</v>
      </c>
      <c r="I717" s="108">
        <v>2800</v>
      </c>
      <c r="J717" s="104">
        <v>26.36</v>
      </c>
      <c r="K717" s="6"/>
      <c r="L717" s="6"/>
      <c r="M717" s="6"/>
      <c r="N717" s="6"/>
      <c r="O717" s="109">
        <v>33900</v>
      </c>
      <c r="P717" s="103" t="s">
        <v>337</v>
      </c>
      <c r="Q717" s="104">
        <v>26.36</v>
      </c>
      <c r="R717" s="104">
        <v>26.36</v>
      </c>
      <c r="S717" t="s">
        <v>433</v>
      </c>
      <c r="T717">
        <f t="shared" si="44"/>
        <v>798708</v>
      </c>
      <c r="U717">
        <f t="shared" si="45"/>
        <v>3600</v>
      </c>
      <c r="V717">
        <f t="shared" si="46"/>
        <v>893604</v>
      </c>
      <c r="W717">
        <f t="shared" si="47"/>
        <v>94896</v>
      </c>
    </row>
    <row r="718" spans="1:23" x14ac:dyDescent="0.25">
      <c r="A718" s="204">
        <v>7203454549</v>
      </c>
      <c r="B718" s="204">
        <v>7203175930</v>
      </c>
      <c r="C718" s="126" t="s">
        <v>338</v>
      </c>
      <c r="D718" s="5">
        <v>6234000600</v>
      </c>
      <c r="E718" s="156">
        <v>44662</v>
      </c>
      <c r="F718" s="155">
        <v>27500</v>
      </c>
      <c r="G718" s="5" t="s">
        <v>421</v>
      </c>
      <c r="H718" s="204">
        <v>5501132737</v>
      </c>
      <c r="I718" s="108">
        <v>2800</v>
      </c>
      <c r="J718" s="104">
        <v>24.26</v>
      </c>
      <c r="K718" s="6"/>
      <c r="L718" s="6"/>
      <c r="M718" s="6"/>
      <c r="N718" s="6"/>
      <c r="O718" s="109">
        <v>33900</v>
      </c>
      <c r="P718" s="103" t="s">
        <v>337</v>
      </c>
      <c r="Q718" s="104">
        <v>24.26</v>
      </c>
      <c r="R718" s="104">
        <v>24.26</v>
      </c>
      <c r="S718" t="s">
        <v>433</v>
      </c>
      <c r="T718">
        <f t="shared" si="44"/>
        <v>735078</v>
      </c>
      <c r="U718">
        <f t="shared" si="45"/>
        <v>3600</v>
      </c>
      <c r="V718">
        <f t="shared" si="46"/>
        <v>822414</v>
      </c>
      <c r="W718">
        <f t="shared" si="47"/>
        <v>87336</v>
      </c>
    </row>
    <row r="719" spans="1:23" x14ac:dyDescent="0.25">
      <c r="A719" s="204">
        <v>7203454549</v>
      </c>
      <c r="B719" s="204">
        <v>7203175930</v>
      </c>
      <c r="C719" s="126" t="s">
        <v>338</v>
      </c>
      <c r="D719" s="5">
        <v>6234000600</v>
      </c>
      <c r="E719" s="156">
        <v>44662</v>
      </c>
      <c r="F719" s="155">
        <v>27500</v>
      </c>
      <c r="G719" s="5" t="s">
        <v>421</v>
      </c>
      <c r="H719" s="204">
        <v>5506225174</v>
      </c>
      <c r="I719" s="108">
        <v>2600</v>
      </c>
      <c r="J719" s="105">
        <v>26.74</v>
      </c>
      <c r="K719" s="6"/>
      <c r="L719" s="6"/>
      <c r="M719" s="6"/>
      <c r="N719" s="6"/>
      <c r="O719" s="109">
        <v>33900</v>
      </c>
      <c r="P719" s="103" t="s">
        <v>337</v>
      </c>
      <c r="Q719" s="105">
        <v>26.74</v>
      </c>
      <c r="R719" s="105">
        <v>26.74</v>
      </c>
      <c r="S719" t="s">
        <v>433</v>
      </c>
      <c r="T719">
        <f t="shared" si="44"/>
        <v>804874</v>
      </c>
      <c r="U719">
        <f t="shared" si="45"/>
        <v>3800</v>
      </c>
      <c r="V719">
        <f t="shared" si="46"/>
        <v>906486</v>
      </c>
      <c r="W719">
        <f t="shared" si="47"/>
        <v>101612</v>
      </c>
    </row>
    <row r="720" spans="1:23" x14ac:dyDescent="0.25">
      <c r="A720" s="204">
        <v>7203454549</v>
      </c>
      <c r="B720" s="204">
        <v>7203175930</v>
      </c>
      <c r="C720" s="126" t="s">
        <v>338</v>
      </c>
      <c r="D720" s="5">
        <v>6234000600</v>
      </c>
      <c r="E720" s="156">
        <v>44662</v>
      </c>
      <c r="F720" s="155">
        <v>27500</v>
      </c>
      <c r="G720" s="5" t="s">
        <v>421</v>
      </c>
      <c r="H720" s="204">
        <v>5503182532</v>
      </c>
      <c r="I720" s="108">
        <v>2600</v>
      </c>
      <c r="J720" s="105">
        <v>26.34</v>
      </c>
      <c r="K720" s="6"/>
      <c r="L720" s="6"/>
      <c r="M720" s="6"/>
      <c r="N720" s="6"/>
      <c r="O720" s="109">
        <v>33900</v>
      </c>
      <c r="P720" s="103" t="s">
        <v>337</v>
      </c>
      <c r="Q720" s="105">
        <v>26.34</v>
      </c>
      <c r="R720" s="105">
        <v>26.34</v>
      </c>
      <c r="S720" t="s">
        <v>433</v>
      </c>
      <c r="T720">
        <f t="shared" si="44"/>
        <v>792834</v>
      </c>
      <c r="U720">
        <f t="shared" si="45"/>
        <v>3800</v>
      </c>
      <c r="V720">
        <f t="shared" si="46"/>
        <v>892926</v>
      </c>
      <c r="W720">
        <f t="shared" si="47"/>
        <v>100092</v>
      </c>
    </row>
    <row r="721" spans="1:23" x14ac:dyDescent="0.25">
      <c r="A721" s="204">
        <v>7203454549</v>
      </c>
      <c r="B721" s="204">
        <v>7203175930</v>
      </c>
      <c r="C721" s="126" t="s">
        <v>338</v>
      </c>
      <c r="D721" s="5">
        <v>6234000600</v>
      </c>
      <c r="E721" s="156">
        <v>44662</v>
      </c>
      <c r="F721" s="155">
        <v>27500</v>
      </c>
      <c r="G721" s="5" t="s">
        <v>421</v>
      </c>
      <c r="H721" s="204">
        <v>5503182532</v>
      </c>
      <c r="I721" s="108">
        <v>2600</v>
      </c>
      <c r="J721" s="105">
        <v>26.3</v>
      </c>
      <c r="K721" s="6"/>
      <c r="L721" s="6"/>
      <c r="M721" s="6"/>
      <c r="N721" s="6"/>
      <c r="O721" s="109">
        <v>33900</v>
      </c>
      <c r="P721" s="103" t="s">
        <v>337</v>
      </c>
      <c r="Q721" s="105">
        <v>26.3</v>
      </c>
      <c r="R721" s="105">
        <v>26.3</v>
      </c>
      <c r="S721" t="s">
        <v>433</v>
      </c>
      <c r="T721">
        <f t="shared" si="44"/>
        <v>791630</v>
      </c>
      <c r="U721">
        <f t="shared" si="45"/>
        <v>3800</v>
      </c>
      <c r="V721">
        <f t="shared" si="46"/>
        <v>891570</v>
      </c>
      <c r="W721">
        <f t="shared" si="47"/>
        <v>99940</v>
      </c>
    </row>
    <row r="722" spans="1:23" x14ac:dyDescent="0.25">
      <c r="A722" s="204">
        <v>7203454549</v>
      </c>
      <c r="B722" s="204">
        <v>7203175930</v>
      </c>
      <c r="C722" s="126" t="s">
        <v>338</v>
      </c>
      <c r="D722" s="5">
        <v>6234000600</v>
      </c>
      <c r="E722" s="156">
        <v>44663</v>
      </c>
      <c r="F722" s="155">
        <v>27500</v>
      </c>
      <c r="G722" s="5" t="s">
        <v>421</v>
      </c>
      <c r="H722" s="204">
        <v>5506225174</v>
      </c>
      <c r="I722" s="108">
        <v>2600</v>
      </c>
      <c r="J722" s="104">
        <v>26.14</v>
      </c>
      <c r="K722" s="6"/>
      <c r="L722" s="6"/>
      <c r="M722" s="6"/>
      <c r="N722" s="6"/>
      <c r="O722" s="109">
        <v>33900</v>
      </c>
      <c r="P722" s="103" t="s">
        <v>337</v>
      </c>
      <c r="Q722" s="104">
        <v>26.14</v>
      </c>
      <c r="R722" s="104">
        <v>26.14</v>
      </c>
      <c r="S722" t="s">
        <v>433</v>
      </c>
      <c r="T722">
        <f t="shared" si="44"/>
        <v>786814</v>
      </c>
      <c r="U722">
        <f t="shared" si="45"/>
        <v>3800</v>
      </c>
      <c r="V722">
        <f t="shared" si="46"/>
        <v>886146</v>
      </c>
      <c r="W722">
        <f t="shared" si="47"/>
        <v>99332</v>
      </c>
    </row>
    <row r="723" spans="1:23" x14ac:dyDescent="0.25">
      <c r="A723" s="204">
        <v>7203454549</v>
      </c>
      <c r="B723" s="204">
        <v>7203175930</v>
      </c>
      <c r="C723" s="126" t="s">
        <v>338</v>
      </c>
      <c r="D723" s="5">
        <v>6234000600</v>
      </c>
      <c r="E723" s="156">
        <v>44663</v>
      </c>
      <c r="F723" s="155">
        <v>27500</v>
      </c>
      <c r="G723" s="5" t="s">
        <v>421</v>
      </c>
      <c r="H723" s="204">
        <v>5501132737</v>
      </c>
      <c r="I723" s="108">
        <v>2800</v>
      </c>
      <c r="J723" s="104">
        <v>27.1</v>
      </c>
      <c r="K723" s="6"/>
      <c r="L723" s="6"/>
      <c r="M723" s="6"/>
      <c r="N723" s="6"/>
      <c r="O723" s="109">
        <v>33900</v>
      </c>
      <c r="P723" s="103" t="s">
        <v>337</v>
      </c>
      <c r="Q723" s="104">
        <v>27.1</v>
      </c>
      <c r="R723" s="104">
        <v>27.1</v>
      </c>
      <c r="S723" t="s">
        <v>433</v>
      </c>
      <c r="T723">
        <f t="shared" si="44"/>
        <v>821130</v>
      </c>
      <c r="U723">
        <f t="shared" si="45"/>
        <v>3600</v>
      </c>
      <c r="V723">
        <f t="shared" si="46"/>
        <v>918690</v>
      </c>
      <c r="W723">
        <f t="shared" si="47"/>
        <v>97560</v>
      </c>
    </row>
    <row r="724" spans="1:23" x14ac:dyDescent="0.25">
      <c r="A724" s="204">
        <v>7203454549</v>
      </c>
      <c r="B724" s="204">
        <v>7203175930</v>
      </c>
      <c r="C724" s="126" t="s">
        <v>338</v>
      </c>
      <c r="D724" s="5">
        <v>6234000600</v>
      </c>
      <c r="E724" s="156">
        <v>44663</v>
      </c>
      <c r="F724" s="155">
        <v>27500</v>
      </c>
      <c r="G724" s="5" t="s">
        <v>421</v>
      </c>
      <c r="H724" s="204">
        <v>5501132737</v>
      </c>
      <c r="I724" s="108">
        <v>2800</v>
      </c>
      <c r="J724" s="104">
        <v>26.12</v>
      </c>
      <c r="K724" s="6"/>
      <c r="L724" s="6"/>
      <c r="M724" s="6"/>
      <c r="N724" s="6"/>
      <c r="O724" s="109">
        <v>33900</v>
      </c>
      <c r="P724" s="103" t="s">
        <v>337</v>
      </c>
      <c r="Q724" s="104">
        <v>26.12</v>
      </c>
      <c r="R724" s="104">
        <v>26.12</v>
      </c>
      <c r="S724" t="s">
        <v>433</v>
      </c>
      <c r="T724">
        <f t="shared" si="44"/>
        <v>791436</v>
      </c>
      <c r="U724">
        <f t="shared" si="45"/>
        <v>3600</v>
      </c>
      <c r="V724">
        <f t="shared" si="46"/>
        <v>885468</v>
      </c>
      <c r="W724">
        <f t="shared" si="47"/>
        <v>94032</v>
      </c>
    </row>
    <row r="725" spans="1:23" x14ac:dyDescent="0.25">
      <c r="A725" s="204">
        <v>7203454549</v>
      </c>
      <c r="B725" s="204">
        <v>7203175930</v>
      </c>
      <c r="C725" s="126" t="s">
        <v>338</v>
      </c>
      <c r="D725" s="5">
        <v>6234000600</v>
      </c>
      <c r="E725" s="156">
        <v>44663</v>
      </c>
      <c r="F725" s="155">
        <v>27500</v>
      </c>
      <c r="G725" s="5" t="s">
        <v>421</v>
      </c>
      <c r="H725" s="204">
        <v>5501132737</v>
      </c>
      <c r="I725" s="108">
        <v>2800</v>
      </c>
      <c r="J725" s="104">
        <v>26.04</v>
      </c>
      <c r="K725" s="6"/>
      <c r="L725" s="6"/>
      <c r="M725" s="6"/>
      <c r="N725" s="6"/>
      <c r="O725" s="109">
        <v>33900</v>
      </c>
      <c r="P725" s="103" t="s">
        <v>337</v>
      </c>
      <c r="Q725" s="104">
        <v>26.04</v>
      </c>
      <c r="R725" s="104">
        <v>26.04</v>
      </c>
      <c r="S725" t="s">
        <v>433</v>
      </c>
      <c r="T725">
        <f t="shared" si="44"/>
        <v>789012</v>
      </c>
      <c r="U725">
        <f t="shared" si="45"/>
        <v>3600</v>
      </c>
      <c r="V725">
        <f t="shared" si="46"/>
        <v>882756</v>
      </c>
      <c r="W725">
        <f t="shared" si="47"/>
        <v>93744</v>
      </c>
    </row>
    <row r="726" spans="1:23" x14ac:dyDescent="0.25">
      <c r="A726" s="204">
        <v>7203454549</v>
      </c>
      <c r="B726" s="204">
        <v>7203175930</v>
      </c>
      <c r="C726" s="126" t="s">
        <v>338</v>
      </c>
      <c r="D726" s="5">
        <v>6234000600</v>
      </c>
      <c r="E726" s="156">
        <v>44663</v>
      </c>
      <c r="F726" s="155">
        <v>27500</v>
      </c>
      <c r="G726" s="5" t="s">
        <v>421</v>
      </c>
      <c r="H726" s="204">
        <v>5501132737</v>
      </c>
      <c r="I726" s="108">
        <v>2800</v>
      </c>
      <c r="J726" s="104">
        <v>26.2</v>
      </c>
      <c r="K726" s="6"/>
      <c r="L726" s="6"/>
      <c r="M726" s="6"/>
      <c r="N726" s="6"/>
      <c r="O726" s="109">
        <v>33900</v>
      </c>
      <c r="P726" s="103" t="s">
        <v>337</v>
      </c>
      <c r="Q726" s="104">
        <v>26.2</v>
      </c>
      <c r="R726" s="104">
        <v>26.2</v>
      </c>
      <c r="S726" t="s">
        <v>433</v>
      </c>
      <c r="T726">
        <f t="shared" si="44"/>
        <v>793860</v>
      </c>
      <c r="U726">
        <f t="shared" si="45"/>
        <v>3600</v>
      </c>
      <c r="V726">
        <f t="shared" si="46"/>
        <v>888180</v>
      </c>
      <c r="W726">
        <f t="shared" si="47"/>
        <v>94320</v>
      </c>
    </row>
    <row r="727" spans="1:23" x14ac:dyDescent="0.25">
      <c r="A727" s="204">
        <v>7203454549</v>
      </c>
      <c r="B727" s="204">
        <v>7203175930</v>
      </c>
      <c r="C727" s="126" t="s">
        <v>338</v>
      </c>
      <c r="D727" s="5">
        <v>6234000600</v>
      </c>
      <c r="E727" s="156">
        <v>44674</v>
      </c>
      <c r="F727" s="155">
        <v>29330</v>
      </c>
      <c r="G727" s="5" t="s">
        <v>1</v>
      </c>
      <c r="H727" s="110"/>
      <c r="I727" s="108">
        <v>0</v>
      </c>
      <c r="J727" s="104">
        <v>25.48</v>
      </c>
      <c r="K727" s="6"/>
      <c r="L727" s="6"/>
      <c r="M727" s="6"/>
      <c r="N727" s="6"/>
      <c r="O727" s="109">
        <v>33900</v>
      </c>
      <c r="P727" s="103" t="s">
        <v>337</v>
      </c>
      <c r="Q727" s="104">
        <v>25.48</v>
      </c>
      <c r="R727" s="104">
        <v>25.48</v>
      </c>
      <c r="S727" t="s">
        <v>433</v>
      </c>
      <c r="T727">
        <f t="shared" si="44"/>
        <v>747328.4</v>
      </c>
      <c r="U727">
        <f t="shared" si="45"/>
        <v>4570</v>
      </c>
      <c r="V727">
        <f t="shared" si="46"/>
        <v>863772</v>
      </c>
      <c r="W727">
        <f t="shared" si="47"/>
        <v>116443.59999999998</v>
      </c>
    </row>
    <row r="728" spans="1:23" x14ac:dyDescent="0.25">
      <c r="A728" s="204">
        <v>7203454549</v>
      </c>
      <c r="B728" s="204">
        <v>7203175930</v>
      </c>
      <c r="C728" s="126" t="s">
        <v>338</v>
      </c>
      <c r="D728" s="5">
        <v>6234000600</v>
      </c>
      <c r="E728" s="156">
        <v>44674</v>
      </c>
      <c r="F728" s="155">
        <v>29330</v>
      </c>
      <c r="G728" s="5" t="s">
        <v>1</v>
      </c>
      <c r="H728" s="110"/>
      <c r="I728" s="108">
        <v>0</v>
      </c>
      <c r="J728" s="104">
        <v>25.86</v>
      </c>
      <c r="K728" s="6"/>
      <c r="L728" s="6"/>
      <c r="M728" s="6"/>
      <c r="N728" s="6"/>
      <c r="O728" s="109">
        <v>33900</v>
      </c>
      <c r="P728" s="103" t="s">
        <v>337</v>
      </c>
      <c r="Q728" s="104">
        <v>25.86</v>
      </c>
      <c r="R728" s="104">
        <v>25.86</v>
      </c>
      <c r="S728" t="s">
        <v>433</v>
      </c>
      <c r="T728">
        <f t="shared" si="44"/>
        <v>758473.79999999993</v>
      </c>
      <c r="U728">
        <f t="shared" si="45"/>
        <v>4570</v>
      </c>
      <c r="V728">
        <f t="shared" si="46"/>
        <v>876654</v>
      </c>
      <c r="W728">
        <f t="shared" si="47"/>
        <v>118180.20000000007</v>
      </c>
    </row>
    <row r="729" spans="1:23" x14ac:dyDescent="0.25">
      <c r="A729" s="204">
        <v>7203454549</v>
      </c>
      <c r="B729" s="204">
        <v>7203175930</v>
      </c>
      <c r="C729" s="126" t="s">
        <v>338</v>
      </c>
      <c r="D729" s="5">
        <v>6234000600</v>
      </c>
      <c r="E729" s="156">
        <v>44674</v>
      </c>
      <c r="F729" s="155">
        <v>29330</v>
      </c>
      <c r="G729" s="5" t="s">
        <v>1</v>
      </c>
      <c r="H729" s="110"/>
      <c r="I729" s="108">
        <v>0</v>
      </c>
      <c r="J729" s="104">
        <v>26.48</v>
      </c>
      <c r="K729" s="6"/>
      <c r="L729" s="6"/>
      <c r="M729" s="6"/>
      <c r="N729" s="6"/>
      <c r="O729" s="109">
        <v>33900</v>
      </c>
      <c r="P729" s="103" t="s">
        <v>337</v>
      </c>
      <c r="Q729" s="104">
        <v>26.48</v>
      </c>
      <c r="R729" s="104">
        <v>26.48</v>
      </c>
      <c r="S729" t="s">
        <v>433</v>
      </c>
      <c r="T729">
        <f t="shared" si="44"/>
        <v>776658.4</v>
      </c>
      <c r="U729">
        <f t="shared" si="45"/>
        <v>4570</v>
      </c>
      <c r="V729">
        <f t="shared" si="46"/>
        <v>897672</v>
      </c>
      <c r="W729">
        <f t="shared" si="47"/>
        <v>121013.59999999998</v>
      </c>
    </row>
    <row r="730" spans="1:23" x14ac:dyDescent="0.25">
      <c r="A730" s="204">
        <v>7203454549</v>
      </c>
      <c r="B730" s="204">
        <v>7203175930</v>
      </c>
      <c r="C730" s="126" t="s">
        <v>338</v>
      </c>
      <c r="D730" s="5">
        <v>6234000600</v>
      </c>
      <c r="E730" s="156">
        <v>44674</v>
      </c>
      <c r="F730" s="155">
        <v>29330</v>
      </c>
      <c r="G730" s="5" t="s">
        <v>1</v>
      </c>
      <c r="H730" s="110"/>
      <c r="I730" s="108">
        <v>0</v>
      </c>
      <c r="J730" s="104">
        <v>26.28</v>
      </c>
      <c r="K730" s="6"/>
      <c r="L730" s="6"/>
      <c r="M730" s="6"/>
      <c r="N730" s="6"/>
      <c r="O730" s="109">
        <v>33900</v>
      </c>
      <c r="P730" s="103" t="s">
        <v>337</v>
      </c>
      <c r="Q730" s="104">
        <v>26.28</v>
      </c>
      <c r="R730" s="104">
        <v>26.28</v>
      </c>
      <c r="S730" t="s">
        <v>433</v>
      </c>
      <c r="T730">
        <f t="shared" si="44"/>
        <v>770792.4</v>
      </c>
      <c r="U730">
        <f t="shared" si="45"/>
        <v>4570</v>
      </c>
      <c r="V730">
        <f t="shared" si="46"/>
        <v>890892</v>
      </c>
      <c r="W730">
        <f t="shared" si="47"/>
        <v>120099.59999999998</v>
      </c>
    </row>
    <row r="731" spans="1:23" x14ac:dyDescent="0.25">
      <c r="A731" s="204">
        <v>7203454549</v>
      </c>
      <c r="B731" s="204">
        <v>7203175930</v>
      </c>
      <c r="C731" s="126" t="s">
        <v>338</v>
      </c>
      <c r="D731" s="5">
        <v>6234000600</v>
      </c>
      <c r="E731" s="156">
        <v>44676</v>
      </c>
      <c r="F731" s="155">
        <v>29330</v>
      </c>
      <c r="G731" s="5" t="s">
        <v>1</v>
      </c>
      <c r="H731" s="110"/>
      <c r="I731" s="108">
        <v>0</v>
      </c>
      <c r="J731" s="104">
        <v>25.94</v>
      </c>
      <c r="K731" s="6"/>
      <c r="L731" s="6"/>
      <c r="M731" s="6"/>
      <c r="N731" s="6"/>
      <c r="O731" s="109">
        <v>33900</v>
      </c>
      <c r="P731" s="103" t="s">
        <v>337</v>
      </c>
      <c r="Q731" s="104">
        <v>25.94</v>
      </c>
      <c r="R731" s="104">
        <v>25.94</v>
      </c>
      <c r="S731" t="s">
        <v>433</v>
      </c>
      <c r="T731">
        <f t="shared" si="44"/>
        <v>760820.20000000007</v>
      </c>
      <c r="U731">
        <f t="shared" si="45"/>
        <v>4570</v>
      </c>
      <c r="V731">
        <f t="shared" si="46"/>
        <v>879366</v>
      </c>
      <c r="W731">
        <f t="shared" si="47"/>
        <v>118545.79999999993</v>
      </c>
    </row>
    <row r="732" spans="1:23" x14ac:dyDescent="0.25">
      <c r="A732" s="204">
        <v>7203454549</v>
      </c>
      <c r="B732" s="204">
        <v>7203175930</v>
      </c>
      <c r="C732" s="126" t="s">
        <v>338</v>
      </c>
      <c r="D732" s="5">
        <v>6234000600</v>
      </c>
      <c r="E732" s="156">
        <v>44676</v>
      </c>
      <c r="F732" s="155">
        <v>29330</v>
      </c>
      <c r="G732" s="5" t="s">
        <v>1</v>
      </c>
      <c r="H732" s="110"/>
      <c r="I732" s="108">
        <v>0</v>
      </c>
      <c r="J732" s="104">
        <v>23.3</v>
      </c>
      <c r="K732" s="6"/>
      <c r="L732" s="6"/>
      <c r="M732" s="6"/>
      <c r="N732" s="6"/>
      <c r="O732" s="109">
        <v>33900</v>
      </c>
      <c r="P732" s="103" t="s">
        <v>337</v>
      </c>
      <c r="Q732" s="104">
        <v>23.3</v>
      </c>
      <c r="R732" s="104">
        <v>23.3</v>
      </c>
      <c r="S732" t="s">
        <v>433</v>
      </c>
      <c r="T732">
        <f t="shared" si="44"/>
        <v>683389</v>
      </c>
      <c r="U732">
        <f t="shared" si="45"/>
        <v>4570</v>
      </c>
      <c r="V732">
        <f t="shared" si="46"/>
        <v>789870</v>
      </c>
      <c r="W732">
        <f t="shared" si="47"/>
        <v>106481</v>
      </c>
    </row>
    <row r="733" spans="1:23" x14ac:dyDescent="0.25">
      <c r="A733" s="204">
        <v>7203454549</v>
      </c>
      <c r="B733" s="204">
        <v>7203175930</v>
      </c>
      <c r="C733" s="126" t="s">
        <v>338</v>
      </c>
      <c r="D733" s="5">
        <v>6234000600</v>
      </c>
      <c r="E733" s="156">
        <v>44676</v>
      </c>
      <c r="F733" s="155">
        <v>29330</v>
      </c>
      <c r="G733" s="5" t="s">
        <v>1</v>
      </c>
      <c r="H733" s="110"/>
      <c r="I733" s="108">
        <v>0</v>
      </c>
      <c r="J733" s="104">
        <v>26.16</v>
      </c>
      <c r="K733" s="6"/>
      <c r="L733" s="6"/>
      <c r="M733" s="6"/>
      <c r="N733" s="6"/>
      <c r="O733" s="109">
        <v>33900</v>
      </c>
      <c r="P733" s="103" t="s">
        <v>337</v>
      </c>
      <c r="Q733" s="104">
        <v>26.16</v>
      </c>
      <c r="R733" s="104">
        <v>26.16</v>
      </c>
      <c r="S733" t="s">
        <v>433</v>
      </c>
      <c r="T733">
        <f t="shared" si="44"/>
        <v>767272.8</v>
      </c>
      <c r="U733">
        <f t="shared" si="45"/>
        <v>4570</v>
      </c>
      <c r="V733">
        <f t="shared" si="46"/>
        <v>886824</v>
      </c>
      <c r="W733">
        <f t="shared" si="47"/>
        <v>119551.19999999995</v>
      </c>
    </row>
    <row r="734" spans="1:23" x14ac:dyDescent="0.25">
      <c r="A734" s="204">
        <v>7203454549</v>
      </c>
      <c r="B734" s="204">
        <v>7203175930</v>
      </c>
      <c r="C734" s="126" t="s">
        <v>338</v>
      </c>
      <c r="D734" s="5">
        <v>6234000600</v>
      </c>
      <c r="E734" s="156">
        <v>44676</v>
      </c>
      <c r="F734" s="155">
        <v>29330</v>
      </c>
      <c r="G734" s="5" t="s">
        <v>1</v>
      </c>
      <c r="H734" s="110"/>
      <c r="I734" s="108">
        <v>0</v>
      </c>
      <c r="J734" s="104">
        <v>25.6</v>
      </c>
      <c r="K734" s="6"/>
      <c r="L734" s="6"/>
      <c r="M734" s="6"/>
      <c r="N734" s="6"/>
      <c r="O734" s="109">
        <v>33900</v>
      </c>
      <c r="P734" s="103" t="s">
        <v>337</v>
      </c>
      <c r="Q734" s="104">
        <v>25.6</v>
      </c>
      <c r="R734" s="104">
        <v>25.6</v>
      </c>
      <c r="S734" t="s">
        <v>433</v>
      </c>
      <c r="T734">
        <f t="shared" si="44"/>
        <v>750848</v>
      </c>
      <c r="U734">
        <f t="shared" si="45"/>
        <v>4570</v>
      </c>
      <c r="V734">
        <f t="shared" si="46"/>
        <v>867840</v>
      </c>
      <c r="W734">
        <f t="shared" si="47"/>
        <v>116992</v>
      </c>
    </row>
    <row r="735" spans="1:23" x14ac:dyDescent="0.25">
      <c r="A735" s="204">
        <v>7203454549</v>
      </c>
      <c r="B735" s="204">
        <v>7203175930</v>
      </c>
      <c r="C735" s="126" t="s">
        <v>338</v>
      </c>
      <c r="D735" s="5">
        <v>6234000600</v>
      </c>
      <c r="E735" s="156">
        <v>44676</v>
      </c>
      <c r="F735" s="155">
        <v>29330</v>
      </c>
      <c r="G735" s="5" t="s">
        <v>1</v>
      </c>
      <c r="H735" s="110"/>
      <c r="I735" s="108">
        <v>0</v>
      </c>
      <c r="J735" s="104">
        <v>26.26</v>
      </c>
      <c r="K735" s="6"/>
      <c r="L735" s="6"/>
      <c r="M735" s="6"/>
      <c r="N735" s="6"/>
      <c r="O735" s="109">
        <v>33900</v>
      </c>
      <c r="P735" s="103" t="s">
        <v>337</v>
      </c>
      <c r="Q735" s="104">
        <v>26.26</v>
      </c>
      <c r="R735" s="104">
        <v>26.26</v>
      </c>
      <c r="S735" t="s">
        <v>433</v>
      </c>
      <c r="T735">
        <f t="shared" si="44"/>
        <v>770205.8</v>
      </c>
      <c r="U735">
        <f t="shared" si="45"/>
        <v>4570</v>
      </c>
      <c r="V735">
        <f t="shared" si="46"/>
        <v>890214</v>
      </c>
      <c r="W735">
        <f t="shared" si="47"/>
        <v>120008.19999999995</v>
      </c>
    </row>
    <row r="736" spans="1:23" x14ac:dyDescent="0.25">
      <c r="A736" s="204">
        <v>7203454549</v>
      </c>
      <c r="B736" s="204">
        <v>7203175930</v>
      </c>
      <c r="C736" s="126" t="s">
        <v>338</v>
      </c>
      <c r="D736" s="5">
        <v>6234000600</v>
      </c>
      <c r="E736" s="156">
        <v>44677</v>
      </c>
      <c r="F736" s="155">
        <v>29330</v>
      </c>
      <c r="G736" s="5" t="s">
        <v>1</v>
      </c>
      <c r="H736" s="110"/>
      <c r="I736" s="108">
        <v>0</v>
      </c>
      <c r="J736" s="104">
        <v>26.04</v>
      </c>
      <c r="K736" s="6"/>
      <c r="L736" s="6"/>
      <c r="M736" s="6"/>
      <c r="N736" s="6"/>
      <c r="O736" s="109">
        <v>33900</v>
      </c>
      <c r="P736" s="103" t="s">
        <v>337</v>
      </c>
      <c r="Q736" s="104">
        <v>26.04</v>
      </c>
      <c r="R736" s="104">
        <v>26.04</v>
      </c>
      <c r="S736" t="s">
        <v>433</v>
      </c>
      <c r="T736">
        <f t="shared" si="44"/>
        <v>763753.2</v>
      </c>
      <c r="U736">
        <f t="shared" si="45"/>
        <v>4570</v>
      </c>
      <c r="V736">
        <f t="shared" si="46"/>
        <v>882756</v>
      </c>
      <c r="W736">
        <f t="shared" si="47"/>
        <v>119002.80000000005</v>
      </c>
    </row>
    <row r="737" spans="1:23" x14ac:dyDescent="0.25">
      <c r="A737" s="204">
        <v>7203454549</v>
      </c>
      <c r="B737" s="204">
        <v>7203175930</v>
      </c>
      <c r="C737" s="126" t="s">
        <v>338</v>
      </c>
      <c r="D737" s="5">
        <v>6234000600</v>
      </c>
      <c r="E737" s="156">
        <v>44677</v>
      </c>
      <c r="F737" s="155">
        <v>29330</v>
      </c>
      <c r="G737" s="5" t="s">
        <v>1</v>
      </c>
      <c r="H737" s="110"/>
      <c r="I737" s="108">
        <v>0</v>
      </c>
      <c r="J737" s="104">
        <v>26.26</v>
      </c>
      <c r="K737" s="6"/>
      <c r="L737" s="6"/>
      <c r="M737" s="6"/>
      <c r="N737" s="6"/>
      <c r="O737" s="109">
        <v>33900</v>
      </c>
      <c r="P737" s="103" t="s">
        <v>337</v>
      </c>
      <c r="Q737" s="104">
        <v>26.26</v>
      </c>
      <c r="R737" s="104">
        <v>26.26</v>
      </c>
      <c r="S737" t="s">
        <v>433</v>
      </c>
      <c r="T737">
        <f t="shared" si="44"/>
        <v>770205.8</v>
      </c>
      <c r="U737">
        <f t="shared" si="45"/>
        <v>4570</v>
      </c>
      <c r="V737">
        <f t="shared" si="46"/>
        <v>890214</v>
      </c>
      <c r="W737">
        <f t="shared" si="47"/>
        <v>120008.19999999995</v>
      </c>
    </row>
    <row r="738" spans="1:23" x14ac:dyDescent="0.25">
      <c r="A738" s="204">
        <v>7203454549</v>
      </c>
      <c r="B738" s="204">
        <v>7203175930</v>
      </c>
      <c r="C738" s="126" t="s">
        <v>338</v>
      </c>
      <c r="D738" s="5">
        <v>6234000600</v>
      </c>
      <c r="E738" s="156">
        <v>44677</v>
      </c>
      <c r="F738" s="155">
        <v>29330</v>
      </c>
      <c r="G738" s="5" t="s">
        <v>1</v>
      </c>
      <c r="H738" s="110"/>
      <c r="I738" s="108">
        <v>0</v>
      </c>
      <c r="J738" s="104">
        <v>26.46</v>
      </c>
      <c r="K738" s="6"/>
      <c r="L738" s="6"/>
      <c r="M738" s="6"/>
      <c r="N738" s="6"/>
      <c r="O738" s="109">
        <v>33900</v>
      </c>
      <c r="P738" s="103" t="s">
        <v>337</v>
      </c>
      <c r="Q738" s="104">
        <v>26.46</v>
      </c>
      <c r="R738" s="104">
        <v>26.46</v>
      </c>
      <c r="S738" t="s">
        <v>433</v>
      </c>
      <c r="T738">
        <f t="shared" si="44"/>
        <v>776071.8</v>
      </c>
      <c r="U738">
        <f t="shared" si="45"/>
        <v>4570</v>
      </c>
      <c r="V738">
        <f t="shared" si="46"/>
        <v>896994</v>
      </c>
      <c r="W738">
        <f t="shared" si="47"/>
        <v>120922.19999999995</v>
      </c>
    </row>
    <row r="739" spans="1:23" x14ac:dyDescent="0.25">
      <c r="A739" s="204">
        <v>7203454549</v>
      </c>
      <c r="B739" s="204">
        <v>7203175930</v>
      </c>
      <c r="C739" s="126" t="s">
        <v>338</v>
      </c>
      <c r="D739" s="5">
        <v>6234000600</v>
      </c>
      <c r="E739" s="156">
        <v>44677</v>
      </c>
      <c r="F739" s="155">
        <v>29330</v>
      </c>
      <c r="G739" s="5" t="s">
        <v>1</v>
      </c>
      <c r="H739" s="110"/>
      <c r="I739" s="108">
        <v>0</v>
      </c>
      <c r="J739" s="104">
        <v>26.64</v>
      </c>
      <c r="K739" s="6"/>
      <c r="L739" s="6"/>
      <c r="M739" s="6"/>
      <c r="N739" s="6"/>
      <c r="O739" s="109">
        <v>33900</v>
      </c>
      <c r="P739" s="103" t="s">
        <v>337</v>
      </c>
      <c r="Q739" s="104">
        <v>26.64</v>
      </c>
      <c r="R739" s="104">
        <v>26.64</v>
      </c>
      <c r="S739" t="s">
        <v>433</v>
      </c>
      <c r="T739">
        <f t="shared" si="44"/>
        <v>781351.20000000007</v>
      </c>
      <c r="U739">
        <f t="shared" si="45"/>
        <v>4570</v>
      </c>
      <c r="V739">
        <f t="shared" si="46"/>
        <v>903096</v>
      </c>
      <c r="W739">
        <f t="shared" si="47"/>
        <v>121744.79999999993</v>
      </c>
    </row>
    <row r="740" spans="1:23" x14ac:dyDescent="0.25">
      <c r="A740" s="204">
        <v>7203454549</v>
      </c>
      <c r="B740" s="204">
        <v>7203175930</v>
      </c>
      <c r="C740" s="126" t="s">
        <v>338</v>
      </c>
      <c r="D740" s="5">
        <v>6234000600</v>
      </c>
      <c r="E740" s="156">
        <v>44677</v>
      </c>
      <c r="F740" s="155">
        <v>29330</v>
      </c>
      <c r="G740" s="5" t="s">
        <v>1</v>
      </c>
      <c r="H740" s="110"/>
      <c r="I740" s="108">
        <v>0</v>
      </c>
      <c r="J740" s="104">
        <v>26.7</v>
      </c>
      <c r="K740" s="6"/>
      <c r="L740" s="6"/>
      <c r="M740" s="6"/>
      <c r="N740" s="6"/>
      <c r="O740" s="109">
        <v>33900</v>
      </c>
      <c r="P740" s="103" t="s">
        <v>337</v>
      </c>
      <c r="Q740" s="104">
        <v>26.7</v>
      </c>
      <c r="R740" s="104">
        <v>26.7</v>
      </c>
      <c r="S740" t="s">
        <v>433</v>
      </c>
      <c r="T740">
        <f t="shared" si="44"/>
        <v>783111</v>
      </c>
      <c r="U740">
        <f t="shared" si="45"/>
        <v>4570</v>
      </c>
      <c r="V740">
        <f t="shared" si="46"/>
        <v>905130</v>
      </c>
      <c r="W740">
        <f t="shared" si="47"/>
        <v>122019</v>
      </c>
    </row>
    <row r="741" spans="1:23" x14ac:dyDescent="0.25">
      <c r="A741" s="204">
        <v>7203454549</v>
      </c>
      <c r="B741" s="204">
        <v>7203175930</v>
      </c>
      <c r="C741" s="126" t="s">
        <v>338</v>
      </c>
      <c r="D741" s="5">
        <v>6234000600</v>
      </c>
      <c r="E741" s="156">
        <v>44678</v>
      </c>
      <c r="F741" s="155">
        <v>29330</v>
      </c>
      <c r="G741" s="5" t="s">
        <v>1</v>
      </c>
      <c r="H741" s="110"/>
      <c r="I741" s="108">
        <v>0</v>
      </c>
      <c r="J741" s="104">
        <v>26.24</v>
      </c>
      <c r="K741" s="6"/>
      <c r="L741" s="6"/>
      <c r="M741" s="6"/>
      <c r="N741" s="6"/>
      <c r="O741" s="109">
        <v>33900</v>
      </c>
      <c r="P741" s="103" t="s">
        <v>337</v>
      </c>
      <c r="Q741" s="104">
        <v>26.24</v>
      </c>
      <c r="R741" s="104">
        <v>26.24</v>
      </c>
      <c r="S741" t="s">
        <v>433</v>
      </c>
      <c r="T741">
        <f t="shared" si="44"/>
        <v>769619.2</v>
      </c>
      <c r="U741">
        <f t="shared" si="45"/>
        <v>4570</v>
      </c>
      <c r="V741">
        <f t="shared" si="46"/>
        <v>889536</v>
      </c>
      <c r="W741">
        <f t="shared" si="47"/>
        <v>119916.80000000005</v>
      </c>
    </row>
    <row r="742" spans="1:23" x14ac:dyDescent="0.25">
      <c r="A742" s="204">
        <v>7203454549</v>
      </c>
      <c r="B742" s="204">
        <v>7203175930</v>
      </c>
      <c r="C742" s="126" t="s">
        <v>338</v>
      </c>
      <c r="D742" s="5">
        <v>6234000600</v>
      </c>
      <c r="E742" s="156">
        <v>44678</v>
      </c>
      <c r="F742" s="155">
        <v>29330</v>
      </c>
      <c r="G742" s="5" t="s">
        <v>1</v>
      </c>
      <c r="H742" s="110"/>
      <c r="I742" s="108">
        <v>0</v>
      </c>
      <c r="J742" s="104">
        <v>26.06</v>
      </c>
      <c r="K742" s="6"/>
      <c r="L742" s="6"/>
      <c r="M742" s="6"/>
      <c r="N742" s="6"/>
      <c r="O742" s="109">
        <v>33900</v>
      </c>
      <c r="P742" s="103" t="s">
        <v>337</v>
      </c>
      <c r="Q742" s="104">
        <v>26.06</v>
      </c>
      <c r="R742" s="104">
        <v>26.06</v>
      </c>
      <c r="S742" t="s">
        <v>433</v>
      </c>
      <c r="T742">
        <f t="shared" si="44"/>
        <v>764339.79999999993</v>
      </c>
      <c r="U742">
        <f t="shared" si="45"/>
        <v>4570</v>
      </c>
      <c r="V742">
        <f t="shared" si="46"/>
        <v>883434</v>
      </c>
      <c r="W742">
        <f t="shared" si="47"/>
        <v>119094.20000000007</v>
      </c>
    </row>
    <row r="743" spans="1:23" x14ac:dyDescent="0.25">
      <c r="A743" s="204">
        <v>7203454549</v>
      </c>
      <c r="B743" s="204">
        <v>7203175930</v>
      </c>
      <c r="C743" s="126" t="s">
        <v>338</v>
      </c>
      <c r="D743" s="5">
        <v>6234000600</v>
      </c>
      <c r="E743" s="156">
        <v>44678</v>
      </c>
      <c r="F743" s="155">
        <v>29330</v>
      </c>
      <c r="G743" s="5" t="s">
        <v>1</v>
      </c>
      <c r="H743" s="110"/>
      <c r="I743" s="108">
        <v>0</v>
      </c>
      <c r="J743" s="104">
        <v>26.2</v>
      </c>
      <c r="K743" s="6"/>
      <c r="L743" s="6"/>
      <c r="M743" s="6"/>
      <c r="N743" s="6"/>
      <c r="O743" s="109">
        <v>33900</v>
      </c>
      <c r="P743" s="103" t="s">
        <v>337</v>
      </c>
      <c r="Q743" s="104">
        <v>26.2</v>
      </c>
      <c r="R743" s="104">
        <v>26.2</v>
      </c>
      <c r="S743" t="s">
        <v>433</v>
      </c>
      <c r="T743">
        <f t="shared" si="44"/>
        <v>768446</v>
      </c>
      <c r="U743">
        <f t="shared" si="45"/>
        <v>4570</v>
      </c>
      <c r="V743">
        <f t="shared" si="46"/>
        <v>888180</v>
      </c>
      <c r="W743">
        <f t="shared" si="47"/>
        <v>119734</v>
      </c>
    </row>
    <row r="744" spans="1:23" x14ac:dyDescent="0.25">
      <c r="A744" s="204">
        <v>7203454549</v>
      </c>
      <c r="B744" s="204">
        <v>7203175930</v>
      </c>
      <c r="C744" s="126" t="s">
        <v>338</v>
      </c>
      <c r="D744" s="5">
        <v>6234000600</v>
      </c>
      <c r="E744" s="156">
        <v>44678</v>
      </c>
      <c r="F744" s="155">
        <v>29330</v>
      </c>
      <c r="G744" s="5" t="s">
        <v>1</v>
      </c>
      <c r="H744" s="110"/>
      <c r="I744" s="108">
        <v>0</v>
      </c>
      <c r="J744" s="104">
        <v>26.28</v>
      </c>
      <c r="K744" s="6"/>
      <c r="L744" s="6"/>
      <c r="M744" s="6"/>
      <c r="N744" s="6"/>
      <c r="O744" s="109">
        <v>33900</v>
      </c>
      <c r="P744" s="103" t="s">
        <v>337</v>
      </c>
      <c r="Q744" s="104">
        <v>26.28</v>
      </c>
      <c r="R744" s="104">
        <v>26.28</v>
      </c>
      <c r="S744" t="s">
        <v>433</v>
      </c>
      <c r="T744">
        <f t="shared" si="44"/>
        <v>770792.4</v>
      </c>
      <c r="U744">
        <f t="shared" si="45"/>
        <v>4570</v>
      </c>
      <c r="V744">
        <f t="shared" si="46"/>
        <v>890892</v>
      </c>
      <c r="W744">
        <f t="shared" si="47"/>
        <v>120099.59999999998</v>
      </c>
    </row>
    <row r="745" spans="1:23" x14ac:dyDescent="0.25">
      <c r="A745" s="204">
        <v>7203454549</v>
      </c>
      <c r="B745" s="204">
        <v>7203175930</v>
      </c>
      <c r="C745" s="126" t="s">
        <v>338</v>
      </c>
      <c r="D745" s="5">
        <v>6234000600</v>
      </c>
      <c r="E745" s="156">
        <v>44678</v>
      </c>
      <c r="F745" s="155">
        <v>29330</v>
      </c>
      <c r="G745" s="5" t="s">
        <v>1</v>
      </c>
      <c r="H745" s="110"/>
      <c r="I745" s="108">
        <v>0</v>
      </c>
      <c r="J745" s="104">
        <v>26.12</v>
      </c>
      <c r="K745" s="6"/>
      <c r="L745" s="6"/>
      <c r="M745" s="6"/>
      <c r="N745" s="6"/>
      <c r="O745" s="109">
        <v>33900</v>
      </c>
      <c r="P745" s="103" t="s">
        <v>337</v>
      </c>
      <c r="Q745" s="104">
        <v>26.12</v>
      </c>
      <c r="R745" s="104">
        <v>26.12</v>
      </c>
      <c r="S745" t="s">
        <v>433</v>
      </c>
      <c r="T745">
        <f t="shared" si="44"/>
        <v>766099.6</v>
      </c>
      <c r="U745">
        <f t="shared" si="45"/>
        <v>4570</v>
      </c>
      <c r="V745">
        <f t="shared" si="46"/>
        <v>885468</v>
      </c>
      <c r="W745">
        <f t="shared" si="47"/>
        <v>119368.40000000002</v>
      </c>
    </row>
    <row r="746" spans="1:23" x14ac:dyDescent="0.25">
      <c r="A746" s="204">
        <v>7203454549</v>
      </c>
      <c r="B746" s="204">
        <v>7203175930</v>
      </c>
      <c r="C746" s="126" t="s">
        <v>338</v>
      </c>
      <c r="D746" s="5">
        <v>6234000600</v>
      </c>
      <c r="E746" s="156">
        <v>44681</v>
      </c>
      <c r="F746" s="155">
        <v>29330</v>
      </c>
      <c r="G746" s="5" t="s">
        <v>1</v>
      </c>
      <c r="H746" s="110"/>
      <c r="I746" s="108">
        <v>0</v>
      </c>
      <c r="J746" s="104">
        <v>26.56</v>
      </c>
      <c r="K746" s="6"/>
      <c r="L746" s="6"/>
      <c r="M746" s="6"/>
      <c r="N746" s="6"/>
      <c r="O746" s="109">
        <v>33900</v>
      </c>
      <c r="P746" s="103" t="s">
        <v>337</v>
      </c>
      <c r="Q746" s="104">
        <v>26.56</v>
      </c>
      <c r="R746" s="104">
        <v>26.56</v>
      </c>
      <c r="S746" t="s">
        <v>433</v>
      </c>
      <c r="T746">
        <f t="shared" si="44"/>
        <v>779004.79999999993</v>
      </c>
      <c r="U746">
        <f t="shared" si="45"/>
        <v>4570</v>
      </c>
      <c r="V746">
        <f t="shared" si="46"/>
        <v>900384</v>
      </c>
      <c r="W746">
        <f t="shared" si="47"/>
        <v>121379.20000000007</v>
      </c>
    </row>
    <row r="747" spans="1:23" x14ac:dyDescent="0.25">
      <c r="A747" s="204">
        <v>7203454549</v>
      </c>
      <c r="B747" s="204">
        <v>7203175930</v>
      </c>
      <c r="C747" s="126" t="s">
        <v>338</v>
      </c>
      <c r="D747" s="5">
        <v>6234000600</v>
      </c>
      <c r="E747" s="156">
        <v>44681</v>
      </c>
      <c r="F747" s="155">
        <v>29330</v>
      </c>
      <c r="G747" s="5" t="s">
        <v>1</v>
      </c>
      <c r="H747" s="112"/>
      <c r="I747" s="111">
        <v>0</v>
      </c>
      <c r="J747" s="113">
        <v>26.04</v>
      </c>
      <c r="K747" s="6"/>
      <c r="L747" s="6"/>
      <c r="M747" s="6"/>
      <c r="N747" s="6"/>
      <c r="O747" s="112">
        <v>33900</v>
      </c>
      <c r="P747" s="111" t="s">
        <v>337</v>
      </c>
      <c r="Q747" s="113">
        <v>26.04</v>
      </c>
      <c r="R747" s="113">
        <v>26.04</v>
      </c>
      <c r="S747" t="s">
        <v>433</v>
      </c>
      <c r="T747">
        <f t="shared" si="44"/>
        <v>763753.2</v>
      </c>
      <c r="U747">
        <f t="shared" si="45"/>
        <v>4570</v>
      </c>
      <c r="V747">
        <f t="shared" si="46"/>
        <v>882756</v>
      </c>
      <c r="W747">
        <f t="shared" si="47"/>
        <v>119002.80000000005</v>
      </c>
    </row>
    <row r="748" spans="1:23" x14ac:dyDescent="0.25">
      <c r="A748" s="204">
        <v>7203454549</v>
      </c>
      <c r="B748" s="204">
        <v>7203175930</v>
      </c>
      <c r="C748" s="126" t="s">
        <v>340</v>
      </c>
      <c r="D748" s="5">
        <v>6234000600</v>
      </c>
      <c r="E748" s="156">
        <v>44667</v>
      </c>
      <c r="F748" s="155">
        <v>29010</v>
      </c>
      <c r="G748" s="5" t="s">
        <v>1</v>
      </c>
      <c r="H748" s="6"/>
      <c r="I748" s="111">
        <v>0</v>
      </c>
      <c r="J748" s="115">
        <v>25.9</v>
      </c>
      <c r="K748" s="6"/>
      <c r="L748" s="6"/>
      <c r="M748" s="6"/>
      <c r="N748" s="6"/>
      <c r="O748" s="124">
        <v>33350</v>
      </c>
      <c r="P748" s="120" t="s">
        <v>339</v>
      </c>
      <c r="Q748" s="118">
        <v>25.9</v>
      </c>
      <c r="R748" s="122">
        <v>25.9</v>
      </c>
      <c r="S748" t="s">
        <v>433</v>
      </c>
      <c r="T748">
        <f t="shared" si="44"/>
        <v>751359</v>
      </c>
      <c r="U748">
        <f t="shared" si="45"/>
        <v>4340</v>
      </c>
      <c r="V748">
        <f t="shared" si="46"/>
        <v>863765</v>
      </c>
      <c r="W748">
        <f t="shared" si="47"/>
        <v>112406</v>
      </c>
    </row>
    <row r="749" spans="1:23" x14ac:dyDescent="0.25">
      <c r="A749" s="204">
        <v>7203454549</v>
      </c>
      <c r="B749" s="204">
        <v>7203175930</v>
      </c>
      <c r="C749" s="126" t="s">
        <v>340</v>
      </c>
      <c r="D749" s="5">
        <v>6234000600</v>
      </c>
      <c r="E749" s="156">
        <v>44667</v>
      </c>
      <c r="F749" s="155">
        <v>29010</v>
      </c>
      <c r="G749" s="5" t="s">
        <v>1</v>
      </c>
      <c r="H749" s="6"/>
      <c r="I749" s="111">
        <v>0</v>
      </c>
      <c r="J749" s="115">
        <v>25.92</v>
      </c>
      <c r="K749" s="6"/>
      <c r="L749" s="6"/>
      <c r="M749" s="6"/>
      <c r="N749" s="6"/>
      <c r="O749" s="124">
        <v>33350</v>
      </c>
      <c r="P749" s="120" t="s">
        <v>339</v>
      </c>
      <c r="Q749" s="118">
        <v>25.92</v>
      </c>
      <c r="R749" s="122">
        <v>25.92</v>
      </c>
      <c r="S749" t="s">
        <v>433</v>
      </c>
      <c r="T749">
        <f t="shared" si="44"/>
        <v>751939.20000000007</v>
      </c>
      <c r="U749">
        <f t="shared" si="45"/>
        <v>4340</v>
      </c>
      <c r="V749">
        <f t="shared" si="46"/>
        <v>864432</v>
      </c>
      <c r="W749">
        <f t="shared" si="47"/>
        <v>112492.79999999993</v>
      </c>
    </row>
    <row r="750" spans="1:23" x14ac:dyDescent="0.25">
      <c r="A750" s="204">
        <v>7203454549</v>
      </c>
      <c r="B750" s="204">
        <v>7203175930</v>
      </c>
      <c r="C750" s="126" t="s">
        <v>340</v>
      </c>
      <c r="D750" s="5">
        <v>6234000600</v>
      </c>
      <c r="E750" s="156">
        <v>44668</v>
      </c>
      <c r="F750" s="155">
        <v>29010</v>
      </c>
      <c r="G750" s="5" t="s">
        <v>1</v>
      </c>
      <c r="H750" s="6"/>
      <c r="I750" s="111">
        <v>0</v>
      </c>
      <c r="J750" s="115">
        <v>26.26</v>
      </c>
      <c r="K750" s="6"/>
      <c r="L750" s="6"/>
      <c r="M750" s="6"/>
      <c r="N750" s="6"/>
      <c r="O750" s="124">
        <v>33350</v>
      </c>
      <c r="P750" s="120" t="s">
        <v>339</v>
      </c>
      <c r="Q750" s="118">
        <v>26.26</v>
      </c>
      <c r="R750" s="122">
        <v>26.26</v>
      </c>
      <c r="S750" t="s">
        <v>433</v>
      </c>
      <c r="T750">
        <f t="shared" si="44"/>
        <v>761802.60000000009</v>
      </c>
      <c r="U750">
        <f t="shared" si="45"/>
        <v>4340</v>
      </c>
      <c r="V750">
        <f t="shared" si="46"/>
        <v>875771</v>
      </c>
      <c r="W750">
        <f t="shared" si="47"/>
        <v>113968.39999999991</v>
      </c>
    </row>
    <row r="751" spans="1:23" x14ac:dyDescent="0.25">
      <c r="A751" s="204">
        <v>7203454549</v>
      </c>
      <c r="B751" s="204">
        <v>7203175930</v>
      </c>
      <c r="C751" s="126" t="s">
        <v>340</v>
      </c>
      <c r="D751" s="5">
        <v>6234000600</v>
      </c>
      <c r="E751" s="156">
        <v>44669</v>
      </c>
      <c r="F751" s="155">
        <v>29010</v>
      </c>
      <c r="G751" s="5" t="s">
        <v>1</v>
      </c>
      <c r="H751" s="6"/>
      <c r="I751" s="111">
        <v>0</v>
      </c>
      <c r="J751" s="116">
        <v>26.06</v>
      </c>
      <c r="K751" s="6"/>
      <c r="L751" s="6"/>
      <c r="M751" s="6"/>
      <c r="N751" s="6"/>
      <c r="O751" s="124">
        <v>33350</v>
      </c>
      <c r="P751" s="120" t="s">
        <v>339</v>
      </c>
      <c r="Q751" s="119">
        <v>26.06</v>
      </c>
      <c r="R751" s="123">
        <v>26.06</v>
      </c>
      <c r="S751" t="s">
        <v>433</v>
      </c>
      <c r="T751">
        <f t="shared" si="44"/>
        <v>756000.6</v>
      </c>
      <c r="U751">
        <f t="shared" si="45"/>
        <v>4340</v>
      </c>
      <c r="V751">
        <f t="shared" si="46"/>
        <v>869101</v>
      </c>
      <c r="W751">
        <f t="shared" si="47"/>
        <v>113100.40000000002</v>
      </c>
    </row>
    <row r="752" spans="1:23" x14ac:dyDescent="0.25">
      <c r="A752" s="204">
        <v>7203454549</v>
      </c>
      <c r="B752" s="204">
        <v>7203175930</v>
      </c>
      <c r="C752" s="126" t="s">
        <v>340</v>
      </c>
      <c r="D752" s="5">
        <v>6234000600</v>
      </c>
      <c r="E752" s="156">
        <v>44670</v>
      </c>
      <c r="F752" s="155">
        <v>29010</v>
      </c>
      <c r="G752" s="5" t="s">
        <v>1</v>
      </c>
      <c r="H752" s="6"/>
      <c r="I752" s="111">
        <v>0</v>
      </c>
      <c r="J752" s="116">
        <v>26.06</v>
      </c>
      <c r="K752" s="6"/>
      <c r="L752" s="6"/>
      <c r="M752" s="6"/>
      <c r="N752" s="6"/>
      <c r="O752" s="124">
        <v>33350</v>
      </c>
      <c r="P752" s="120" t="s">
        <v>339</v>
      </c>
      <c r="Q752" s="119">
        <v>26.06</v>
      </c>
      <c r="R752" s="123">
        <v>26.06</v>
      </c>
      <c r="S752" t="s">
        <v>433</v>
      </c>
      <c r="T752">
        <f t="shared" si="44"/>
        <v>756000.6</v>
      </c>
      <c r="U752">
        <f t="shared" si="45"/>
        <v>4340</v>
      </c>
      <c r="V752">
        <f t="shared" si="46"/>
        <v>869101</v>
      </c>
      <c r="W752">
        <f t="shared" si="47"/>
        <v>113100.40000000002</v>
      </c>
    </row>
    <row r="753" spans="1:23" x14ac:dyDescent="0.25">
      <c r="A753" s="204">
        <v>7203454549</v>
      </c>
      <c r="B753" s="204">
        <v>7203175930</v>
      </c>
      <c r="C753" s="126" t="s">
        <v>340</v>
      </c>
      <c r="D753" s="5">
        <v>6234000600</v>
      </c>
      <c r="E753" s="156">
        <v>44670</v>
      </c>
      <c r="F753" s="155">
        <v>29010</v>
      </c>
      <c r="G753" s="5" t="s">
        <v>1</v>
      </c>
      <c r="H753" s="6"/>
      <c r="I753" s="111">
        <v>0</v>
      </c>
      <c r="J753" s="116">
        <v>24.54</v>
      </c>
      <c r="K753" s="6"/>
      <c r="L753" s="6"/>
      <c r="M753" s="6"/>
      <c r="N753" s="6"/>
      <c r="O753" s="124">
        <v>33350</v>
      </c>
      <c r="P753" s="120" t="s">
        <v>339</v>
      </c>
      <c r="Q753" s="119">
        <v>24.54</v>
      </c>
      <c r="R753" s="123">
        <v>24.54</v>
      </c>
      <c r="S753" t="s">
        <v>433</v>
      </c>
      <c r="T753">
        <f t="shared" si="44"/>
        <v>711905.4</v>
      </c>
      <c r="U753">
        <f t="shared" si="45"/>
        <v>4340</v>
      </c>
      <c r="V753">
        <f t="shared" si="46"/>
        <v>818409</v>
      </c>
      <c r="W753">
        <f t="shared" si="47"/>
        <v>106503.59999999998</v>
      </c>
    </row>
    <row r="754" spans="1:23" x14ac:dyDescent="0.25">
      <c r="A754" s="204">
        <v>7203454549</v>
      </c>
      <c r="B754" s="204">
        <v>7203175930</v>
      </c>
      <c r="C754" s="126" t="s">
        <v>340</v>
      </c>
      <c r="D754" s="5">
        <v>6234000600</v>
      </c>
      <c r="E754" s="156">
        <v>44671</v>
      </c>
      <c r="F754" s="155">
        <v>29010</v>
      </c>
      <c r="G754" s="5" t="s">
        <v>1</v>
      </c>
      <c r="H754" s="6"/>
      <c r="I754" s="111">
        <v>0</v>
      </c>
      <c r="J754" s="114">
        <v>25.24</v>
      </c>
      <c r="K754" s="6"/>
      <c r="L754" s="6"/>
      <c r="M754" s="6"/>
      <c r="N754" s="6"/>
      <c r="O754" s="124">
        <v>33350</v>
      </c>
      <c r="P754" s="120" t="s">
        <v>339</v>
      </c>
      <c r="Q754" s="117">
        <v>25.24</v>
      </c>
      <c r="R754" s="121">
        <v>25.24</v>
      </c>
      <c r="S754" t="s">
        <v>433</v>
      </c>
      <c r="T754">
        <f t="shared" si="44"/>
        <v>732212.39999999991</v>
      </c>
      <c r="U754">
        <f t="shared" si="45"/>
        <v>4340</v>
      </c>
      <c r="V754">
        <f t="shared" si="46"/>
        <v>841754</v>
      </c>
      <c r="W754">
        <f t="shared" si="47"/>
        <v>109541.60000000009</v>
      </c>
    </row>
    <row r="755" spans="1:23" x14ac:dyDescent="0.25">
      <c r="A755" s="204">
        <v>7203454549</v>
      </c>
      <c r="B755" s="204">
        <v>7203175930</v>
      </c>
      <c r="C755" s="126" t="s">
        <v>340</v>
      </c>
      <c r="D755" s="5">
        <v>6234000600</v>
      </c>
      <c r="E755" s="156">
        <v>44671</v>
      </c>
      <c r="F755" s="155">
        <v>29010</v>
      </c>
      <c r="G755" s="5" t="s">
        <v>1</v>
      </c>
      <c r="H755" s="6"/>
      <c r="I755" s="111">
        <v>0</v>
      </c>
      <c r="J755" s="114">
        <v>26.06</v>
      </c>
      <c r="K755" s="6"/>
      <c r="L755" s="6"/>
      <c r="M755" s="6"/>
      <c r="N755" s="6"/>
      <c r="O755" s="124">
        <v>33350</v>
      </c>
      <c r="P755" s="120" t="s">
        <v>339</v>
      </c>
      <c r="Q755" s="117">
        <v>26.06</v>
      </c>
      <c r="R755" s="121">
        <v>26.06</v>
      </c>
      <c r="S755" t="s">
        <v>433</v>
      </c>
      <c r="T755">
        <f t="shared" si="44"/>
        <v>756000.6</v>
      </c>
      <c r="U755">
        <f t="shared" si="45"/>
        <v>4340</v>
      </c>
      <c r="V755">
        <f t="shared" si="46"/>
        <v>869101</v>
      </c>
      <c r="W755">
        <f t="shared" si="47"/>
        <v>113100.40000000002</v>
      </c>
    </row>
    <row r="756" spans="1:23" x14ac:dyDescent="0.25">
      <c r="A756" s="204">
        <v>7203454549</v>
      </c>
      <c r="B756" s="204">
        <v>7203175930</v>
      </c>
      <c r="C756" s="126" t="s">
        <v>340</v>
      </c>
      <c r="D756" s="5">
        <v>6234000600</v>
      </c>
      <c r="E756" s="156">
        <v>44671</v>
      </c>
      <c r="F756" s="155">
        <v>29010</v>
      </c>
      <c r="G756" s="5" t="s">
        <v>1</v>
      </c>
      <c r="H756" s="6"/>
      <c r="I756" s="111">
        <v>0</v>
      </c>
      <c r="J756" s="114">
        <v>25.94</v>
      </c>
      <c r="K756" s="6"/>
      <c r="L756" s="6"/>
      <c r="M756" s="6"/>
      <c r="N756" s="6"/>
      <c r="O756" s="124">
        <v>33350</v>
      </c>
      <c r="P756" s="120" t="s">
        <v>339</v>
      </c>
      <c r="Q756" s="117">
        <v>25.94</v>
      </c>
      <c r="R756" s="121">
        <v>25.94</v>
      </c>
      <c r="S756" t="s">
        <v>433</v>
      </c>
      <c r="T756">
        <f t="shared" si="44"/>
        <v>752519.4</v>
      </c>
      <c r="U756">
        <f t="shared" si="45"/>
        <v>4340</v>
      </c>
      <c r="V756">
        <f t="shared" si="46"/>
        <v>865099</v>
      </c>
      <c r="W756">
        <f t="shared" si="47"/>
        <v>112579.59999999998</v>
      </c>
    </row>
    <row r="757" spans="1:23" x14ac:dyDescent="0.25">
      <c r="A757" s="204">
        <v>7203454549</v>
      </c>
      <c r="B757" s="204">
        <v>7203175930</v>
      </c>
      <c r="C757" s="126" t="s">
        <v>340</v>
      </c>
      <c r="D757" s="5">
        <v>6234000600</v>
      </c>
      <c r="E757" s="156">
        <v>44672</v>
      </c>
      <c r="F757" s="155">
        <v>29010</v>
      </c>
      <c r="G757" s="5" t="s">
        <v>1</v>
      </c>
      <c r="H757" s="6"/>
      <c r="I757" s="111">
        <v>0</v>
      </c>
      <c r="J757" s="114">
        <v>26.04</v>
      </c>
      <c r="K757" s="6"/>
      <c r="L757" s="6"/>
      <c r="M757" s="6"/>
      <c r="N757" s="6"/>
      <c r="O757" s="124">
        <v>33350</v>
      </c>
      <c r="P757" s="120" t="s">
        <v>339</v>
      </c>
      <c r="Q757" s="117">
        <v>26.04</v>
      </c>
      <c r="R757" s="121">
        <v>26.04</v>
      </c>
      <c r="S757" t="s">
        <v>433</v>
      </c>
      <c r="T757">
        <f t="shared" si="44"/>
        <v>755420.4</v>
      </c>
      <c r="U757">
        <f t="shared" si="45"/>
        <v>4340</v>
      </c>
      <c r="V757">
        <f t="shared" si="46"/>
        <v>868434</v>
      </c>
      <c r="W757">
        <f t="shared" si="47"/>
        <v>113013.59999999998</v>
      </c>
    </row>
    <row r="758" spans="1:23" x14ac:dyDescent="0.25">
      <c r="A758" s="204">
        <v>7203454549</v>
      </c>
      <c r="B758" s="204">
        <v>7203175930</v>
      </c>
      <c r="C758" s="126" t="s">
        <v>340</v>
      </c>
      <c r="D758" s="5">
        <v>6234000600</v>
      </c>
      <c r="E758" s="156">
        <v>44672</v>
      </c>
      <c r="F758" s="155">
        <v>29010</v>
      </c>
      <c r="G758" s="5" t="s">
        <v>1</v>
      </c>
      <c r="H758" s="6"/>
      <c r="I758" s="111">
        <v>0</v>
      </c>
      <c r="J758" s="114">
        <v>25.54</v>
      </c>
      <c r="K758" s="6"/>
      <c r="L758" s="6"/>
      <c r="M758" s="6"/>
      <c r="N758" s="6"/>
      <c r="O758" s="124">
        <v>33350</v>
      </c>
      <c r="P758" s="120" t="s">
        <v>339</v>
      </c>
      <c r="Q758" s="117">
        <v>25.54</v>
      </c>
      <c r="R758" s="121">
        <v>25.54</v>
      </c>
      <c r="S758" t="s">
        <v>433</v>
      </c>
      <c r="T758">
        <f t="shared" si="44"/>
        <v>740915.4</v>
      </c>
      <c r="U758">
        <f t="shared" si="45"/>
        <v>4340</v>
      </c>
      <c r="V758">
        <f t="shared" si="46"/>
        <v>851759</v>
      </c>
      <c r="W758">
        <f t="shared" si="47"/>
        <v>110843.59999999998</v>
      </c>
    </row>
    <row r="759" spans="1:23" x14ac:dyDescent="0.25">
      <c r="A759" s="204">
        <v>7203454549</v>
      </c>
      <c r="B759" s="204">
        <v>7203175930</v>
      </c>
      <c r="C759" s="126" t="s">
        <v>340</v>
      </c>
      <c r="D759" s="5">
        <v>6234000600</v>
      </c>
      <c r="E759" s="156">
        <v>44672</v>
      </c>
      <c r="F759" s="155">
        <v>29010</v>
      </c>
      <c r="G759" s="5" t="s">
        <v>1</v>
      </c>
      <c r="H759" s="6"/>
      <c r="I759" s="111">
        <v>0</v>
      </c>
      <c r="J759" s="114">
        <v>23.26</v>
      </c>
      <c r="K759" s="6"/>
      <c r="L759" s="6"/>
      <c r="M759" s="6"/>
      <c r="N759" s="6"/>
      <c r="O759" s="124">
        <v>33350</v>
      </c>
      <c r="P759" s="120" t="s">
        <v>339</v>
      </c>
      <c r="Q759" s="117">
        <v>23.26</v>
      </c>
      <c r="R759" s="121">
        <v>23.26</v>
      </c>
      <c r="S759" t="s">
        <v>433</v>
      </c>
      <c r="T759">
        <f t="shared" si="44"/>
        <v>674772.60000000009</v>
      </c>
      <c r="U759">
        <f t="shared" si="45"/>
        <v>4340</v>
      </c>
      <c r="V759">
        <f t="shared" si="46"/>
        <v>775721</v>
      </c>
      <c r="W759">
        <f t="shared" si="47"/>
        <v>100948.39999999991</v>
      </c>
    </row>
    <row r="760" spans="1:23" x14ac:dyDescent="0.25">
      <c r="A760" s="204">
        <v>7203454549</v>
      </c>
      <c r="B760" s="204">
        <v>7203175930</v>
      </c>
      <c r="C760" s="126" t="s">
        <v>340</v>
      </c>
      <c r="D760" s="5">
        <v>6234000600</v>
      </c>
      <c r="E760" s="156">
        <v>44673</v>
      </c>
      <c r="F760" s="155">
        <v>29010</v>
      </c>
      <c r="G760" s="5" t="s">
        <v>1</v>
      </c>
      <c r="H760" s="6"/>
      <c r="I760" s="111">
        <v>0</v>
      </c>
      <c r="J760" s="114">
        <v>26.64</v>
      </c>
      <c r="K760" s="6"/>
      <c r="L760" s="6"/>
      <c r="M760" s="6"/>
      <c r="N760" s="6"/>
      <c r="O760" s="124">
        <v>33350</v>
      </c>
      <c r="P760" s="120" t="s">
        <v>339</v>
      </c>
      <c r="Q760" s="117">
        <v>26.64</v>
      </c>
      <c r="R760" s="121">
        <v>26.64</v>
      </c>
      <c r="S760" t="s">
        <v>433</v>
      </c>
      <c r="T760">
        <f t="shared" si="44"/>
        <v>772826.4</v>
      </c>
      <c r="U760">
        <f t="shared" si="45"/>
        <v>4340</v>
      </c>
      <c r="V760">
        <f t="shared" si="46"/>
        <v>888444</v>
      </c>
      <c r="W760">
        <f t="shared" si="47"/>
        <v>115617.59999999998</v>
      </c>
    </row>
    <row r="761" spans="1:23" x14ac:dyDescent="0.25">
      <c r="A761" s="204">
        <v>7203454549</v>
      </c>
      <c r="B761" s="204">
        <v>7203175930</v>
      </c>
      <c r="C761" s="126" t="s">
        <v>340</v>
      </c>
      <c r="D761" s="5">
        <v>6234000600</v>
      </c>
      <c r="E761" s="156">
        <v>44673</v>
      </c>
      <c r="F761" s="155">
        <v>29010</v>
      </c>
      <c r="G761" s="5" t="s">
        <v>1</v>
      </c>
      <c r="H761" s="6"/>
      <c r="I761" s="111">
        <v>0</v>
      </c>
      <c r="J761" s="114">
        <v>26.6</v>
      </c>
      <c r="K761" s="6"/>
      <c r="L761" s="6"/>
      <c r="M761" s="6"/>
      <c r="N761" s="6"/>
      <c r="O761" s="124">
        <v>33350</v>
      </c>
      <c r="P761" s="120" t="s">
        <v>339</v>
      </c>
      <c r="Q761" s="117">
        <v>26.6</v>
      </c>
      <c r="R761" s="121">
        <v>26.6</v>
      </c>
      <c r="S761" t="s">
        <v>433</v>
      </c>
      <c r="T761">
        <f t="shared" si="44"/>
        <v>771666</v>
      </c>
      <c r="U761">
        <f t="shared" si="45"/>
        <v>4340</v>
      </c>
      <c r="V761">
        <f t="shared" si="46"/>
        <v>887110</v>
      </c>
      <c r="W761">
        <f t="shared" si="47"/>
        <v>115444</v>
      </c>
    </row>
    <row r="762" spans="1:23" x14ac:dyDescent="0.25">
      <c r="A762" s="204">
        <v>7203454549</v>
      </c>
      <c r="B762" s="204">
        <v>7203175930</v>
      </c>
      <c r="C762" s="126" t="s">
        <v>340</v>
      </c>
      <c r="D762" s="5">
        <v>6234000600</v>
      </c>
      <c r="E762" s="156">
        <v>44673</v>
      </c>
      <c r="F762" s="155">
        <v>29010</v>
      </c>
      <c r="G762" s="5" t="s">
        <v>1</v>
      </c>
      <c r="H762" s="6"/>
      <c r="I762" s="111">
        <v>0</v>
      </c>
      <c r="J762" s="114">
        <v>26.7</v>
      </c>
      <c r="K762" s="6"/>
      <c r="L762" s="6"/>
      <c r="M762" s="6"/>
      <c r="N762" s="6"/>
      <c r="O762" s="124">
        <v>33350</v>
      </c>
      <c r="P762" s="120" t="s">
        <v>339</v>
      </c>
      <c r="Q762" s="117">
        <v>26.7</v>
      </c>
      <c r="R762" s="121">
        <v>26.7</v>
      </c>
      <c r="S762" t="s">
        <v>433</v>
      </c>
      <c r="T762">
        <f t="shared" si="44"/>
        <v>774567</v>
      </c>
      <c r="U762">
        <f t="shared" si="45"/>
        <v>4340</v>
      </c>
      <c r="V762">
        <f t="shared" si="46"/>
        <v>890445</v>
      </c>
      <c r="W762">
        <f t="shared" si="47"/>
        <v>115878</v>
      </c>
    </row>
    <row r="763" spans="1:23" x14ac:dyDescent="0.25">
      <c r="A763" s="204">
        <v>7203454549</v>
      </c>
      <c r="B763" s="204">
        <v>7203175930</v>
      </c>
      <c r="C763" s="126" t="s">
        <v>340</v>
      </c>
      <c r="D763" s="5">
        <v>6234000600</v>
      </c>
      <c r="E763" s="156">
        <v>44673</v>
      </c>
      <c r="F763" s="155">
        <v>29010</v>
      </c>
      <c r="G763" s="5" t="s">
        <v>1</v>
      </c>
      <c r="H763" s="6"/>
      <c r="I763" s="111">
        <v>0</v>
      </c>
      <c r="J763" s="114">
        <v>25.24</v>
      </c>
      <c r="K763" s="6"/>
      <c r="L763" s="6"/>
      <c r="M763" s="6"/>
      <c r="N763" s="6"/>
      <c r="O763" s="124">
        <v>33350</v>
      </c>
      <c r="P763" s="120" t="s">
        <v>339</v>
      </c>
      <c r="Q763" s="117">
        <v>25.24</v>
      </c>
      <c r="R763" s="121">
        <v>25.24</v>
      </c>
      <c r="S763" t="s">
        <v>433</v>
      </c>
      <c r="T763">
        <f t="shared" si="44"/>
        <v>732212.39999999991</v>
      </c>
      <c r="U763">
        <f t="shared" si="45"/>
        <v>4340</v>
      </c>
      <c r="V763">
        <f t="shared" si="46"/>
        <v>841754</v>
      </c>
      <c r="W763">
        <f t="shared" si="47"/>
        <v>109541.60000000009</v>
      </c>
    </row>
    <row r="764" spans="1:23" x14ac:dyDescent="0.25">
      <c r="A764" s="204">
        <v>7203454549</v>
      </c>
      <c r="B764" s="204">
        <v>7203175930</v>
      </c>
      <c r="C764" s="126" t="s">
        <v>340</v>
      </c>
      <c r="D764" s="5">
        <v>6234000600</v>
      </c>
      <c r="E764" s="156">
        <v>44674</v>
      </c>
      <c r="F764" s="155">
        <v>29010</v>
      </c>
      <c r="G764" s="5" t="s">
        <v>1</v>
      </c>
      <c r="H764" s="6"/>
      <c r="I764" s="111">
        <v>0</v>
      </c>
      <c r="J764" s="114">
        <v>25.2</v>
      </c>
      <c r="K764" s="6"/>
      <c r="L764" s="6"/>
      <c r="M764" s="6"/>
      <c r="N764" s="6"/>
      <c r="O764" s="124">
        <v>33350</v>
      </c>
      <c r="P764" s="120" t="s">
        <v>339</v>
      </c>
      <c r="Q764" s="117">
        <v>25.2</v>
      </c>
      <c r="R764" s="121">
        <v>25.2</v>
      </c>
      <c r="S764" t="s">
        <v>433</v>
      </c>
      <c r="T764">
        <f t="shared" si="44"/>
        <v>731052</v>
      </c>
      <c r="U764">
        <f t="shared" si="45"/>
        <v>4340</v>
      </c>
      <c r="V764">
        <f t="shared" si="46"/>
        <v>840420</v>
      </c>
      <c r="W764">
        <f t="shared" si="47"/>
        <v>109368</v>
      </c>
    </row>
    <row r="765" spans="1:23" x14ac:dyDescent="0.25">
      <c r="A765" s="204">
        <v>7203454549</v>
      </c>
      <c r="B765" s="204">
        <v>7203175930</v>
      </c>
      <c r="C765" s="126" t="s">
        <v>340</v>
      </c>
      <c r="D765" s="5">
        <v>6234000600</v>
      </c>
      <c r="E765" s="156">
        <v>44674</v>
      </c>
      <c r="F765" s="155">
        <v>29010</v>
      </c>
      <c r="G765" s="5" t="s">
        <v>1</v>
      </c>
      <c r="H765" s="6"/>
      <c r="I765" s="111">
        <v>0</v>
      </c>
      <c r="J765" s="114">
        <v>25.84</v>
      </c>
      <c r="K765" s="6"/>
      <c r="L765" s="6"/>
      <c r="M765" s="6"/>
      <c r="N765" s="6"/>
      <c r="O765" s="124">
        <v>33350</v>
      </c>
      <c r="P765" s="120" t="s">
        <v>339</v>
      </c>
      <c r="Q765" s="117">
        <v>25.84</v>
      </c>
      <c r="R765" s="121">
        <v>25.84</v>
      </c>
      <c r="S765" t="s">
        <v>433</v>
      </c>
      <c r="T765">
        <f t="shared" si="44"/>
        <v>749618.4</v>
      </c>
      <c r="U765">
        <f t="shared" si="45"/>
        <v>4340</v>
      </c>
      <c r="V765">
        <f t="shared" si="46"/>
        <v>861764</v>
      </c>
      <c r="W765">
        <f t="shared" si="47"/>
        <v>112145.59999999998</v>
      </c>
    </row>
    <row r="766" spans="1:23" x14ac:dyDescent="0.25">
      <c r="A766" s="204">
        <v>7203454549</v>
      </c>
      <c r="B766" s="204">
        <v>7203175930</v>
      </c>
      <c r="C766" s="126" t="s">
        <v>340</v>
      </c>
      <c r="D766" s="5">
        <v>6234000600</v>
      </c>
      <c r="E766" s="156">
        <v>44674</v>
      </c>
      <c r="F766" s="155">
        <v>29010</v>
      </c>
      <c r="G766" s="5" t="s">
        <v>1</v>
      </c>
      <c r="H766" s="6"/>
      <c r="I766" s="111">
        <v>0</v>
      </c>
      <c r="J766" s="114">
        <v>26.08</v>
      </c>
      <c r="K766" s="6"/>
      <c r="L766" s="6"/>
      <c r="M766" s="6"/>
      <c r="N766" s="6"/>
      <c r="O766" s="124">
        <v>33350</v>
      </c>
      <c r="P766" s="120" t="s">
        <v>339</v>
      </c>
      <c r="Q766" s="117">
        <v>26.08</v>
      </c>
      <c r="R766" s="121">
        <v>26.08</v>
      </c>
      <c r="S766" t="s">
        <v>433</v>
      </c>
      <c r="T766">
        <f t="shared" si="44"/>
        <v>756580.79999999993</v>
      </c>
      <c r="U766">
        <f t="shared" si="45"/>
        <v>4340</v>
      </c>
      <c r="V766">
        <f t="shared" si="46"/>
        <v>869768</v>
      </c>
      <c r="W766">
        <f t="shared" si="47"/>
        <v>113187.20000000007</v>
      </c>
    </row>
    <row r="767" spans="1:23" x14ac:dyDescent="0.25">
      <c r="A767" s="204">
        <v>7203454549</v>
      </c>
      <c r="B767" s="204">
        <v>7203175930</v>
      </c>
      <c r="C767" s="126" t="s">
        <v>340</v>
      </c>
      <c r="D767" s="5">
        <v>6234000600</v>
      </c>
      <c r="E767" s="156">
        <v>44676</v>
      </c>
      <c r="F767" s="155">
        <v>29010</v>
      </c>
      <c r="G767" s="5" t="s">
        <v>1</v>
      </c>
      <c r="H767" s="6"/>
      <c r="I767" s="111">
        <v>0</v>
      </c>
      <c r="J767" s="114">
        <v>26.02</v>
      </c>
      <c r="K767" s="6"/>
      <c r="L767" s="6"/>
      <c r="M767" s="6"/>
      <c r="N767" s="6"/>
      <c r="O767" s="124">
        <v>33350</v>
      </c>
      <c r="P767" s="120" t="s">
        <v>339</v>
      </c>
      <c r="Q767" s="117">
        <v>26.02</v>
      </c>
      <c r="R767" s="121">
        <v>26.02</v>
      </c>
      <c r="S767" t="s">
        <v>433</v>
      </c>
      <c r="T767">
        <f t="shared" si="44"/>
        <v>754840.2</v>
      </c>
      <c r="U767">
        <f t="shared" si="45"/>
        <v>4340</v>
      </c>
      <c r="V767">
        <f t="shared" si="46"/>
        <v>867767</v>
      </c>
      <c r="W767">
        <f t="shared" si="47"/>
        <v>112926.80000000005</v>
      </c>
    </row>
    <row r="768" spans="1:23" x14ac:dyDescent="0.25">
      <c r="A768" s="204">
        <v>7203454549</v>
      </c>
      <c r="B768" s="204">
        <v>7203175930</v>
      </c>
      <c r="C768" s="126" t="s">
        <v>340</v>
      </c>
      <c r="D768" s="5">
        <v>6234000600</v>
      </c>
      <c r="E768" s="156">
        <v>44676</v>
      </c>
      <c r="F768" s="155">
        <v>29010</v>
      </c>
      <c r="G768" s="5" t="s">
        <v>1</v>
      </c>
      <c r="H768" s="6"/>
      <c r="I768" s="111">
        <v>0</v>
      </c>
      <c r="J768" s="114">
        <v>26.24</v>
      </c>
      <c r="K768" s="6"/>
      <c r="L768" s="6"/>
      <c r="M768" s="6"/>
      <c r="N768" s="6"/>
      <c r="O768" s="124">
        <v>33350</v>
      </c>
      <c r="P768" s="120" t="s">
        <v>339</v>
      </c>
      <c r="Q768" s="117">
        <v>26.24</v>
      </c>
      <c r="R768" s="121">
        <v>26.24</v>
      </c>
      <c r="S768" t="s">
        <v>433</v>
      </c>
      <c r="T768">
        <f t="shared" si="44"/>
        <v>761222.39999999991</v>
      </c>
      <c r="U768">
        <f t="shared" si="45"/>
        <v>4340</v>
      </c>
      <c r="V768">
        <f t="shared" si="46"/>
        <v>875104</v>
      </c>
      <c r="W768">
        <f t="shared" si="47"/>
        <v>113881.60000000009</v>
      </c>
    </row>
    <row r="769" spans="1:23" x14ac:dyDescent="0.25">
      <c r="A769" s="204">
        <v>7203454549</v>
      </c>
      <c r="B769" s="204">
        <v>7203175930</v>
      </c>
      <c r="C769" s="126" t="s">
        <v>340</v>
      </c>
      <c r="D769" s="5">
        <v>6234000600</v>
      </c>
      <c r="E769" s="156">
        <v>44676</v>
      </c>
      <c r="F769" s="155">
        <v>29010</v>
      </c>
      <c r="G769" s="5" t="s">
        <v>1</v>
      </c>
      <c r="H769" s="6"/>
      <c r="I769" s="111">
        <v>0</v>
      </c>
      <c r="J769" s="114">
        <v>26.1</v>
      </c>
      <c r="K769" s="6"/>
      <c r="L769" s="6"/>
      <c r="M769" s="6"/>
      <c r="N769" s="6"/>
      <c r="O769" s="124">
        <v>33350</v>
      </c>
      <c r="P769" s="120" t="s">
        <v>339</v>
      </c>
      <c r="Q769" s="117">
        <v>26.1</v>
      </c>
      <c r="R769" s="121">
        <v>26.1</v>
      </c>
      <c r="S769" t="s">
        <v>433</v>
      </c>
      <c r="T769">
        <f t="shared" si="44"/>
        <v>757161</v>
      </c>
      <c r="U769">
        <f t="shared" si="45"/>
        <v>4340</v>
      </c>
      <c r="V769">
        <f t="shared" si="46"/>
        <v>870435</v>
      </c>
      <c r="W769">
        <f t="shared" si="47"/>
        <v>113274</v>
      </c>
    </row>
    <row r="770" spans="1:23" x14ac:dyDescent="0.25">
      <c r="A770" s="204">
        <v>7203454549</v>
      </c>
      <c r="B770" s="204">
        <v>7203175930</v>
      </c>
      <c r="C770" s="126" t="s">
        <v>340</v>
      </c>
      <c r="D770" s="5">
        <v>6234000600</v>
      </c>
      <c r="E770" s="156">
        <v>44676</v>
      </c>
      <c r="F770" s="155">
        <v>29010</v>
      </c>
      <c r="G770" s="5" t="s">
        <v>1</v>
      </c>
      <c r="H770" s="6"/>
      <c r="I770" s="111">
        <v>0</v>
      </c>
      <c r="J770" s="114">
        <v>25.14</v>
      </c>
      <c r="K770" s="6"/>
      <c r="L770" s="6"/>
      <c r="M770" s="6"/>
      <c r="N770" s="6"/>
      <c r="O770" s="124">
        <v>33350</v>
      </c>
      <c r="P770" s="120" t="s">
        <v>339</v>
      </c>
      <c r="Q770" s="117">
        <v>25.14</v>
      </c>
      <c r="R770" s="121">
        <v>25.14</v>
      </c>
      <c r="S770" t="s">
        <v>433</v>
      </c>
      <c r="T770">
        <f t="shared" si="44"/>
        <v>729311.4</v>
      </c>
      <c r="U770">
        <f t="shared" si="45"/>
        <v>4340</v>
      </c>
      <c r="V770">
        <f t="shared" si="46"/>
        <v>838419</v>
      </c>
      <c r="W770">
        <f t="shared" si="47"/>
        <v>109107.59999999998</v>
      </c>
    </row>
    <row r="771" spans="1:23" x14ac:dyDescent="0.25">
      <c r="A771" s="204">
        <v>7203454549</v>
      </c>
      <c r="B771" s="204">
        <v>7203175930</v>
      </c>
      <c r="C771" s="126" t="s">
        <v>340</v>
      </c>
      <c r="D771" s="5">
        <v>6234000600</v>
      </c>
      <c r="E771" s="156">
        <v>44682</v>
      </c>
      <c r="F771" s="155">
        <v>29370</v>
      </c>
      <c r="G771" s="5" t="s">
        <v>1</v>
      </c>
      <c r="H771" s="6"/>
      <c r="I771" s="111">
        <v>0</v>
      </c>
      <c r="J771" s="116">
        <v>22.24</v>
      </c>
      <c r="K771" s="6"/>
      <c r="L771" s="6"/>
      <c r="M771" s="6"/>
      <c r="N771" s="6"/>
      <c r="O771" s="124">
        <v>33350</v>
      </c>
      <c r="P771" s="120" t="s">
        <v>339</v>
      </c>
      <c r="Q771" s="119">
        <v>22.24</v>
      </c>
      <c r="R771" s="123">
        <v>22.24</v>
      </c>
      <c r="S771" t="s">
        <v>433</v>
      </c>
      <c r="T771">
        <f t="shared" ref="T771:T834" si="48">(I771+F771)*J771</f>
        <v>653188.79999999993</v>
      </c>
      <c r="U771">
        <f t="shared" ref="U771:U834" si="49">O771-(F771+I771)</f>
        <v>3980</v>
      </c>
      <c r="V771">
        <f t="shared" ref="V771:V834" si="50">O771*J771</f>
        <v>741704</v>
      </c>
      <c r="W771">
        <f t="shared" ref="W771:W834" si="51">V771-T771</f>
        <v>88515.20000000007</v>
      </c>
    </row>
    <row r="772" spans="1:23" x14ac:dyDescent="0.25">
      <c r="A772" s="204">
        <v>7203454549</v>
      </c>
      <c r="B772" s="204">
        <v>7203175930</v>
      </c>
      <c r="C772" s="126" t="s">
        <v>340</v>
      </c>
      <c r="D772" s="5">
        <v>6234000600</v>
      </c>
      <c r="E772" s="156">
        <v>44684</v>
      </c>
      <c r="F772" s="155">
        <v>29370</v>
      </c>
      <c r="G772" s="5" t="s">
        <v>1</v>
      </c>
      <c r="H772" s="6"/>
      <c r="I772" s="111">
        <v>0</v>
      </c>
      <c r="J772" s="116">
        <v>26.4</v>
      </c>
      <c r="K772" s="6"/>
      <c r="L772" s="6"/>
      <c r="M772" s="6"/>
      <c r="N772" s="6"/>
      <c r="O772" s="124">
        <v>33350</v>
      </c>
      <c r="P772" s="120" t="s">
        <v>339</v>
      </c>
      <c r="Q772" s="119">
        <v>26.4</v>
      </c>
      <c r="R772" s="123">
        <v>26.4</v>
      </c>
      <c r="S772" t="s">
        <v>433</v>
      </c>
      <c r="T772">
        <f t="shared" si="48"/>
        <v>775368</v>
      </c>
      <c r="U772">
        <f t="shared" si="49"/>
        <v>3980</v>
      </c>
      <c r="V772">
        <f t="shared" si="50"/>
        <v>880440</v>
      </c>
      <c r="W772">
        <f t="shared" si="51"/>
        <v>105072</v>
      </c>
    </row>
    <row r="773" spans="1:23" x14ac:dyDescent="0.25">
      <c r="A773" s="204">
        <v>7203454549</v>
      </c>
      <c r="B773" s="204">
        <v>7203175930</v>
      </c>
      <c r="C773" s="126" t="s">
        <v>340</v>
      </c>
      <c r="D773" s="5">
        <v>6234000600</v>
      </c>
      <c r="E773" s="156">
        <v>44684</v>
      </c>
      <c r="F773" s="155">
        <v>29370</v>
      </c>
      <c r="G773" s="5" t="s">
        <v>1</v>
      </c>
      <c r="H773" s="6"/>
      <c r="I773" s="111">
        <v>0</v>
      </c>
      <c r="J773" s="116">
        <v>26</v>
      </c>
      <c r="K773" s="6"/>
      <c r="L773" s="6"/>
      <c r="M773" s="6"/>
      <c r="N773" s="6"/>
      <c r="O773" s="124">
        <v>33350</v>
      </c>
      <c r="P773" s="120" t="s">
        <v>339</v>
      </c>
      <c r="Q773" s="119">
        <v>26</v>
      </c>
      <c r="R773" s="123">
        <v>26</v>
      </c>
      <c r="S773" t="s">
        <v>433</v>
      </c>
      <c r="T773">
        <f t="shared" si="48"/>
        <v>763620</v>
      </c>
      <c r="U773">
        <f t="shared" si="49"/>
        <v>3980</v>
      </c>
      <c r="V773">
        <f t="shared" si="50"/>
        <v>867100</v>
      </c>
      <c r="W773">
        <f t="shared" si="51"/>
        <v>103480</v>
      </c>
    </row>
    <row r="774" spans="1:23" x14ac:dyDescent="0.25">
      <c r="A774" s="204">
        <v>7203454549</v>
      </c>
      <c r="B774" s="204">
        <v>7203175930</v>
      </c>
      <c r="C774" s="126" t="s">
        <v>340</v>
      </c>
      <c r="D774" s="5">
        <v>6234000600</v>
      </c>
      <c r="E774" s="156">
        <v>44684</v>
      </c>
      <c r="F774" s="155">
        <v>29370</v>
      </c>
      <c r="G774" s="5" t="s">
        <v>1</v>
      </c>
      <c r="H774" s="6"/>
      <c r="I774" s="111">
        <v>0</v>
      </c>
      <c r="J774" s="116">
        <v>26.16</v>
      </c>
      <c r="K774" s="6"/>
      <c r="L774" s="6"/>
      <c r="M774" s="6"/>
      <c r="N774" s="6"/>
      <c r="O774" s="124">
        <v>33350</v>
      </c>
      <c r="P774" s="120" t="s">
        <v>339</v>
      </c>
      <c r="Q774" s="119">
        <v>26.16</v>
      </c>
      <c r="R774" s="123">
        <v>26.16</v>
      </c>
      <c r="S774" t="s">
        <v>433</v>
      </c>
      <c r="T774">
        <f t="shared" si="48"/>
        <v>768319.2</v>
      </c>
      <c r="U774">
        <f t="shared" si="49"/>
        <v>3980</v>
      </c>
      <c r="V774">
        <f t="shared" si="50"/>
        <v>872436</v>
      </c>
      <c r="W774">
        <f t="shared" si="51"/>
        <v>104116.80000000005</v>
      </c>
    </row>
    <row r="775" spans="1:23" x14ac:dyDescent="0.25">
      <c r="A775" s="204">
        <v>8602260410</v>
      </c>
      <c r="B775" s="125">
        <v>7224035764</v>
      </c>
      <c r="C775" s="126" t="s">
        <v>341</v>
      </c>
      <c r="D775" s="5">
        <v>6234000600</v>
      </c>
      <c r="E775" s="156">
        <v>44672</v>
      </c>
      <c r="F775" s="155">
        <v>27100</v>
      </c>
      <c r="G775" s="4" t="s">
        <v>421</v>
      </c>
      <c r="H775" s="204">
        <v>5506225174</v>
      </c>
      <c r="I775" s="128">
        <v>1000</v>
      </c>
      <c r="J775" s="130">
        <v>24.24</v>
      </c>
      <c r="K775" s="3" t="s">
        <v>344</v>
      </c>
      <c r="L775" s="6"/>
      <c r="M775" s="6"/>
      <c r="N775" s="6"/>
      <c r="O775" s="135">
        <v>28635</v>
      </c>
      <c r="P775" s="6"/>
      <c r="Q775" s="132">
        <v>24.24</v>
      </c>
      <c r="R775" s="134">
        <v>24.24</v>
      </c>
      <c r="S775" t="s">
        <v>433</v>
      </c>
      <c r="T775">
        <f t="shared" si="48"/>
        <v>681144</v>
      </c>
      <c r="U775">
        <f t="shared" si="49"/>
        <v>535</v>
      </c>
      <c r="V775">
        <f t="shared" si="50"/>
        <v>694112.39999999991</v>
      </c>
      <c r="W775">
        <f t="shared" si="51"/>
        <v>12968.399999999907</v>
      </c>
    </row>
    <row r="776" spans="1:23" x14ac:dyDescent="0.25">
      <c r="A776" s="204">
        <v>8602260410</v>
      </c>
      <c r="B776" s="125">
        <v>7224035764</v>
      </c>
      <c r="C776" s="126" t="s">
        <v>341</v>
      </c>
      <c r="D776" s="5">
        <v>6234000600</v>
      </c>
      <c r="E776" s="156">
        <v>44672</v>
      </c>
      <c r="F776" s="155">
        <v>27100</v>
      </c>
      <c r="G776" s="4" t="s">
        <v>421</v>
      </c>
      <c r="H776" s="204">
        <v>5503182532</v>
      </c>
      <c r="I776" s="128">
        <v>1000</v>
      </c>
      <c r="J776" s="130">
        <v>26.42</v>
      </c>
      <c r="K776" s="3" t="s">
        <v>2</v>
      </c>
      <c r="L776" s="6"/>
      <c r="M776" s="6"/>
      <c r="N776" s="6"/>
      <c r="O776" s="135">
        <v>28635</v>
      </c>
      <c r="P776" s="6"/>
      <c r="Q776" s="132">
        <v>26.42</v>
      </c>
      <c r="R776" s="134">
        <v>26.42</v>
      </c>
      <c r="S776" t="s">
        <v>433</v>
      </c>
      <c r="T776">
        <f t="shared" si="48"/>
        <v>742402</v>
      </c>
      <c r="U776">
        <f t="shared" si="49"/>
        <v>535</v>
      </c>
      <c r="V776">
        <f t="shared" si="50"/>
        <v>756536.70000000007</v>
      </c>
      <c r="W776">
        <f t="shared" si="51"/>
        <v>14134.70000000007</v>
      </c>
    </row>
    <row r="777" spans="1:23" x14ac:dyDescent="0.25">
      <c r="A777" s="204">
        <v>8602260410</v>
      </c>
      <c r="B777" s="204">
        <v>7224035764</v>
      </c>
      <c r="C777" s="126" t="s">
        <v>342</v>
      </c>
      <c r="D777" s="5">
        <v>6234000600</v>
      </c>
      <c r="E777" s="156">
        <v>44672</v>
      </c>
      <c r="F777" s="155">
        <v>28380</v>
      </c>
      <c r="G777" s="4" t="s">
        <v>421</v>
      </c>
      <c r="H777" s="204">
        <v>5501132737</v>
      </c>
      <c r="I777" s="128">
        <v>639</v>
      </c>
      <c r="J777" s="129">
        <v>26.2</v>
      </c>
      <c r="K777" s="3" t="s">
        <v>6</v>
      </c>
      <c r="L777" s="6"/>
      <c r="M777" s="6"/>
      <c r="N777" s="6"/>
      <c r="O777" s="135">
        <v>30600</v>
      </c>
      <c r="P777" s="6"/>
      <c r="Q777" s="131">
        <v>26.2</v>
      </c>
      <c r="R777" s="133">
        <v>26.2</v>
      </c>
      <c r="S777" t="s">
        <v>433</v>
      </c>
      <c r="T777">
        <f t="shared" si="48"/>
        <v>760297.79999999993</v>
      </c>
      <c r="U777">
        <f t="shared" si="49"/>
        <v>1581</v>
      </c>
      <c r="V777">
        <f t="shared" si="50"/>
        <v>801720</v>
      </c>
      <c r="W777">
        <f t="shared" si="51"/>
        <v>41422.20000000007</v>
      </c>
    </row>
    <row r="778" spans="1:23" x14ac:dyDescent="0.25">
      <c r="A778" s="204">
        <v>8602260410</v>
      </c>
      <c r="B778" s="204">
        <v>7224035764</v>
      </c>
      <c r="C778" s="126" t="s">
        <v>341</v>
      </c>
      <c r="D778" s="5">
        <v>6234000600</v>
      </c>
      <c r="E778" s="156">
        <v>44673</v>
      </c>
      <c r="F778" s="155">
        <v>27100</v>
      </c>
      <c r="G778" s="4" t="s">
        <v>421</v>
      </c>
      <c r="H778" s="204">
        <v>5503182532</v>
      </c>
      <c r="I778" s="128">
        <v>1000</v>
      </c>
      <c r="J778" s="130">
        <v>26.52</v>
      </c>
      <c r="K778" s="3" t="s">
        <v>2</v>
      </c>
      <c r="L778" s="6"/>
      <c r="M778" s="6"/>
      <c r="N778" s="6"/>
      <c r="O778" s="135">
        <v>28635</v>
      </c>
      <c r="P778" s="6"/>
      <c r="Q778" s="132">
        <v>26.52</v>
      </c>
      <c r="R778" s="134">
        <v>26.52</v>
      </c>
      <c r="S778" t="s">
        <v>433</v>
      </c>
      <c r="T778">
        <f t="shared" si="48"/>
        <v>745212</v>
      </c>
      <c r="U778">
        <f t="shared" si="49"/>
        <v>535</v>
      </c>
      <c r="V778">
        <f t="shared" si="50"/>
        <v>759400.2</v>
      </c>
      <c r="W778">
        <f t="shared" si="51"/>
        <v>14188.199999999953</v>
      </c>
    </row>
    <row r="779" spans="1:23" x14ac:dyDescent="0.25">
      <c r="A779" s="204">
        <v>8602260410</v>
      </c>
      <c r="B779" s="204">
        <v>7224035764</v>
      </c>
      <c r="C779" s="126" t="s">
        <v>342</v>
      </c>
      <c r="D779" s="5">
        <v>6234000600</v>
      </c>
      <c r="E779" s="156">
        <v>44674</v>
      </c>
      <c r="F779" s="155">
        <v>27795</v>
      </c>
      <c r="G779" s="4" t="s">
        <v>421</v>
      </c>
      <c r="H779" s="204">
        <v>5501132737</v>
      </c>
      <c r="I779" s="128">
        <v>1100</v>
      </c>
      <c r="J779" s="129">
        <v>25.98</v>
      </c>
      <c r="K779" s="3" t="s">
        <v>345</v>
      </c>
      <c r="L779" s="6"/>
      <c r="M779" s="6"/>
      <c r="N779" s="6"/>
      <c r="O779" s="135">
        <v>30600</v>
      </c>
      <c r="P779" s="6"/>
      <c r="Q779" s="131">
        <v>25.98</v>
      </c>
      <c r="R779" s="133">
        <v>25.98</v>
      </c>
      <c r="S779" t="s">
        <v>433</v>
      </c>
      <c r="T779">
        <f t="shared" si="48"/>
        <v>750692.1</v>
      </c>
      <c r="U779">
        <f t="shared" si="49"/>
        <v>1705</v>
      </c>
      <c r="V779">
        <f t="shared" si="50"/>
        <v>794988</v>
      </c>
      <c r="W779">
        <f t="shared" si="51"/>
        <v>44295.900000000023</v>
      </c>
    </row>
    <row r="780" spans="1:23" x14ac:dyDescent="0.25">
      <c r="A780" s="204">
        <v>8602260410</v>
      </c>
      <c r="B780" s="204">
        <v>7224035764</v>
      </c>
      <c r="C780" s="126" t="s">
        <v>342</v>
      </c>
      <c r="D780" s="5">
        <v>6234000600</v>
      </c>
      <c r="E780" s="156">
        <v>44675</v>
      </c>
      <c r="F780" s="155">
        <v>27500</v>
      </c>
      <c r="G780" s="4" t="s">
        <v>421</v>
      </c>
      <c r="H780" s="204">
        <v>5503182532</v>
      </c>
      <c r="I780" s="128">
        <v>2500</v>
      </c>
      <c r="J780" s="129">
        <v>26.12</v>
      </c>
      <c r="K780" s="3" t="s">
        <v>217</v>
      </c>
      <c r="L780" s="6"/>
      <c r="M780" s="6"/>
      <c r="N780" s="6"/>
      <c r="O780" s="135">
        <v>30600</v>
      </c>
      <c r="P780" s="6"/>
      <c r="Q780" s="131">
        <v>26.12</v>
      </c>
      <c r="R780" s="133">
        <v>26.12</v>
      </c>
      <c r="S780" t="s">
        <v>433</v>
      </c>
      <c r="T780">
        <f t="shared" si="48"/>
        <v>783600</v>
      </c>
      <c r="U780">
        <f t="shared" si="49"/>
        <v>600</v>
      </c>
      <c r="V780">
        <f t="shared" si="50"/>
        <v>799272</v>
      </c>
      <c r="W780">
        <f t="shared" si="51"/>
        <v>15672</v>
      </c>
    </row>
    <row r="781" spans="1:23" x14ac:dyDescent="0.25">
      <c r="A781" s="204">
        <v>8602260410</v>
      </c>
      <c r="B781" s="204">
        <v>7224035764</v>
      </c>
      <c r="C781" s="126" t="s">
        <v>342</v>
      </c>
      <c r="D781" s="5">
        <v>6234000600</v>
      </c>
      <c r="E781" s="156">
        <v>44675</v>
      </c>
      <c r="F781" s="155">
        <v>27500</v>
      </c>
      <c r="G781" s="4" t="s">
        <v>421</v>
      </c>
      <c r="H781" s="204">
        <v>5503182532</v>
      </c>
      <c r="I781" s="128">
        <v>2500</v>
      </c>
      <c r="J781" s="129">
        <v>26.54</v>
      </c>
      <c r="K781" s="3" t="s">
        <v>2</v>
      </c>
      <c r="L781" s="6"/>
      <c r="M781" s="6"/>
      <c r="N781" s="6"/>
      <c r="O781" s="135">
        <v>30600</v>
      </c>
      <c r="P781" s="6"/>
      <c r="Q781" s="131">
        <v>26.54</v>
      </c>
      <c r="R781" s="133">
        <v>26.54</v>
      </c>
      <c r="S781" t="s">
        <v>433</v>
      </c>
      <c r="T781">
        <f t="shared" si="48"/>
        <v>796200</v>
      </c>
      <c r="U781">
        <f t="shared" si="49"/>
        <v>600</v>
      </c>
      <c r="V781">
        <f t="shared" si="50"/>
        <v>812124</v>
      </c>
      <c r="W781">
        <f t="shared" si="51"/>
        <v>15924</v>
      </c>
    </row>
    <row r="782" spans="1:23" x14ac:dyDescent="0.25">
      <c r="A782" s="204">
        <v>8602260410</v>
      </c>
      <c r="B782" s="204">
        <v>7224035764</v>
      </c>
      <c r="C782" s="126" t="s">
        <v>342</v>
      </c>
      <c r="D782" s="5">
        <v>6234000600</v>
      </c>
      <c r="E782" s="156">
        <v>44675</v>
      </c>
      <c r="F782" s="155">
        <v>27500</v>
      </c>
      <c r="G782" s="4" t="s">
        <v>421</v>
      </c>
      <c r="H782" s="204">
        <v>5506225174</v>
      </c>
      <c r="I782" s="128">
        <v>2500</v>
      </c>
      <c r="J782" s="129">
        <v>26.18</v>
      </c>
      <c r="K782" s="3" t="s">
        <v>346</v>
      </c>
      <c r="L782" s="6"/>
      <c r="M782" s="6"/>
      <c r="N782" s="6"/>
      <c r="O782" s="135">
        <v>30600</v>
      </c>
      <c r="P782" s="6"/>
      <c r="Q782" s="131">
        <v>26.18</v>
      </c>
      <c r="R782" s="133">
        <v>26.18</v>
      </c>
      <c r="S782" t="s">
        <v>433</v>
      </c>
      <c r="T782">
        <f t="shared" si="48"/>
        <v>785400</v>
      </c>
      <c r="U782">
        <f t="shared" si="49"/>
        <v>600</v>
      </c>
      <c r="V782">
        <f t="shared" si="50"/>
        <v>801108</v>
      </c>
      <c r="W782">
        <f t="shared" si="51"/>
        <v>15708</v>
      </c>
    </row>
    <row r="783" spans="1:23" x14ac:dyDescent="0.25">
      <c r="A783" s="204">
        <v>8602260410</v>
      </c>
      <c r="B783" s="204">
        <v>7224035764</v>
      </c>
      <c r="C783" s="126" t="s">
        <v>342</v>
      </c>
      <c r="D783" s="5">
        <v>6234000600</v>
      </c>
      <c r="E783" s="156">
        <v>44675</v>
      </c>
      <c r="F783" s="155">
        <v>27500</v>
      </c>
      <c r="G783" s="4" t="s">
        <v>421</v>
      </c>
      <c r="H783" s="204">
        <v>5506225174</v>
      </c>
      <c r="I783" s="128">
        <v>2500</v>
      </c>
      <c r="J783" s="129">
        <v>26.48</v>
      </c>
      <c r="K783" s="3" t="s">
        <v>347</v>
      </c>
      <c r="L783" s="6"/>
      <c r="M783" s="6"/>
      <c r="N783" s="6"/>
      <c r="O783" s="135">
        <v>30600</v>
      </c>
      <c r="P783" s="6"/>
      <c r="Q783" s="131">
        <v>26.48</v>
      </c>
      <c r="R783" s="133">
        <v>26.48</v>
      </c>
      <c r="S783" t="s">
        <v>433</v>
      </c>
      <c r="T783">
        <f t="shared" si="48"/>
        <v>794400</v>
      </c>
      <c r="U783">
        <f t="shared" si="49"/>
        <v>600</v>
      </c>
      <c r="V783">
        <f t="shared" si="50"/>
        <v>810288</v>
      </c>
      <c r="W783">
        <f t="shared" si="51"/>
        <v>15888</v>
      </c>
    </row>
    <row r="784" spans="1:23" x14ac:dyDescent="0.25">
      <c r="A784" s="204">
        <v>8602260410</v>
      </c>
      <c r="B784" s="204">
        <v>7224035764</v>
      </c>
      <c r="C784" s="126" t="s">
        <v>342</v>
      </c>
      <c r="D784" s="5">
        <v>6234000600</v>
      </c>
      <c r="E784" s="156">
        <v>44677</v>
      </c>
      <c r="F784" s="155">
        <v>28135</v>
      </c>
      <c r="G784" s="4" t="s">
        <v>421</v>
      </c>
      <c r="H784" s="204">
        <v>5501132737</v>
      </c>
      <c r="I784" s="128">
        <v>862</v>
      </c>
      <c r="J784" s="129">
        <v>26.2</v>
      </c>
      <c r="K784" s="3" t="s">
        <v>348</v>
      </c>
      <c r="L784" s="6"/>
      <c r="M784" s="6"/>
      <c r="N784" s="6"/>
      <c r="O784" s="135">
        <v>30600</v>
      </c>
      <c r="P784" s="6"/>
      <c r="Q784" s="131">
        <v>26.2</v>
      </c>
      <c r="R784" s="133">
        <v>26.2</v>
      </c>
      <c r="S784" t="s">
        <v>433</v>
      </c>
      <c r="T784">
        <f t="shared" si="48"/>
        <v>759721.4</v>
      </c>
      <c r="U784">
        <f t="shared" si="49"/>
        <v>1603</v>
      </c>
      <c r="V784">
        <f t="shared" si="50"/>
        <v>801720</v>
      </c>
      <c r="W784">
        <f t="shared" si="51"/>
        <v>41998.599999999977</v>
      </c>
    </row>
    <row r="785" spans="1:23" x14ac:dyDescent="0.25">
      <c r="A785" s="204">
        <v>8602260410</v>
      </c>
      <c r="B785" s="204">
        <v>7224035764</v>
      </c>
      <c r="C785" s="126" t="s">
        <v>342</v>
      </c>
      <c r="D785" s="5">
        <v>6234000600</v>
      </c>
      <c r="E785" s="156">
        <v>44680</v>
      </c>
      <c r="F785" s="155">
        <v>28626</v>
      </c>
      <c r="G785" s="4" t="s">
        <v>421</v>
      </c>
      <c r="H785" s="127">
        <v>5501251460</v>
      </c>
      <c r="I785" s="128">
        <v>500</v>
      </c>
      <c r="J785" s="129">
        <v>26.24</v>
      </c>
      <c r="K785" s="3"/>
      <c r="L785" s="6"/>
      <c r="M785" s="6"/>
      <c r="N785" s="6"/>
      <c r="O785" s="135">
        <v>30600</v>
      </c>
      <c r="P785" s="6"/>
      <c r="Q785" s="131">
        <v>26.24</v>
      </c>
      <c r="R785" s="133">
        <v>26.24</v>
      </c>
      <c r="S785" t="s">
        <v>433</v>
      </c>
      <c r="T785">
        <f t="shared" si="48"/>
        <v>764266.24</v>
      </c>
      <c r="U785">
        <f t="shared" si="49"/>
        <v>1474</v>
      </c>
      <c r="V785">
        <f t="shared" si="50"/>
        <v>802944</v>
      </c>
      <c r="W785">
        <f t="shared" si="51"/>
        <v>38677.760000000009</v>
      </c>
    </row>
    <row r="786" spans="1:23" x14ac:dyDescent="0.25">
      <c r="A786" s="204">
        <v>8602260410</v>
      </c>
      <c r="B786" s="204">
        <v>7224035764</v>
      </c>
      <c r="C786" s="126" t="s">
        <v>342</v>
      </c>
      <c r="D786" s="5">
        <v>6234000600</v>
      </c>
      <c r="E786" s="156">
        <v>44680</v>
      </c>
      <c r="F786" s="155">
        <v>28626</v>
      </c>
      <c r="G786" s="4" t="s">
        <v>421</v>
      </c>
      <c r="H786" s="127">
        <v>5501251460</v>
      </c>
      <c r="I786" s="128">
        <v>500</v>
      </c>
      <c r="J786" s="129">
        <v>23.7</v>
      </c>
      <c r="K786" s="3"/>
      <c r="L786" s="6"/>
      <c r="M786" s="6"/>
      <c r="N786" s="6"/>
      <c r="O786" s="135">
        <v>30600</v>
      </c>
      <c r="P786" s="6"/>
      <c r="Q786" s="131">
        <v>23.7</v>
      </c>
      <c r="R786" s="133">
        <v>23.7</v>
      </c>
      <c r="S786" t="s">
        <v>433</v>
      </c>
      <c r="T786">
        <f t="shared" si="48"/>
        <v>690286.2</v>
      </c>
      <c r="U786">
        <f t="shared" si="49"/>
        <v>1474</v>
      </c>
      <c r="V786">
        <f t="shared" si="50"/>
        <v>725220</v>
      </c>
      <c r="W786">
        <f t="shared" si="51"/>
        <v>34933.800000000047</v>
      </c>
    </row>
    <row r="787" spans="1:23" x14ac:dyDescent="0.25">
      <c r="A787" s="204">
        <v>8602260410</v>
      </c>
      <c r="B787" s="204">
        <v>7224035764</v>
      </c>
      <c r="C787" s="126" t="s">
        <v>342</v>
      </c>
      <c r="D787" s="5">
        <v>6234000600</v>
      </c>
      <c r="E787" s="156">
        <v>44680</v>
      </c>
      <c r="F787" s="155">
        <v>28626</v>
      </c>
      <c r="G787" s="4" t="s">
        <v>421</v>
      </c>
      <c r="H787" s="127">
        <v>5505032437</v>
      </c>
      <c r="I787" s="128">
        <v>500</v>
      </c>
      <c r="J787" s="129">
        <v>25.16</v>
      </c>
      <c r="K787" s="3"/>
      <c r="L787" s="6"/>
      <c r="M787" s="6"/>
      <c r="N787" s="6"/>
      <c r="O787" s="135">
        <v>30600</v>
      </c>
      <c r="P787" s="6"/>
      <c r="Q787" s="131">
        <v>25.16</v>
      </c>
      <c r="R787" s="133">
        <v>25.16</v>
      </c>
      <c r="S787" t="s">
        <v>433</v>
      </c>
      <c r="T787">
        <f t="shared" si="48"/>
        <v>732810.16</v>
      </c>
      <c r="U787">
        <f t="shared" si="49"/>
        <v>1474</v>
      </c>
      <c r="V787">
        <f t="shared" si="50"/>
        <v>769896</v>
      </c>
      <c r="W787">
        <f t="shared" si="51"/>
        <v>37085.839999999967</v>
      </c>
    </row>
    <row r="788" spans="1:23" x14ac:dyDescent="0.25">
      <c r="A788" s="204">
        <v>8602260410</v>
      </c>
      <c r="B788" s="204">
        <v>7224035764</v>
      </c>
      <c r="C788" s="126" t="s">
        <v>343</v>
      </c>
      <c r="D788" s="5">
        <v>6234000600</v>
      </c>
      <c r="E788" s="156">
        <v>44681</v>
      </c>
      <c r="F788" s="155">
        <v>29040</v>
      </c>
      <c r="G788" s="4" t="s">
        <v>1</v>
      </c>
      <c r="H788" s="127"/>
      <c r="I788" s="128">
        <v>0</v>
      </c>
      <c r="J788" s="129">
        <v>26.26</v>
      </c>
      <c r="K788" s="3"/>
      <c r="L788" s="6"/>
      <c r="M788" s="6"/>
      <c r="N788" s="6"/>
      <c r="O788" s="135">
        <v>30390</v>
      </c>
      <c r="P788" s="6"/>
      <c r="Q788" s="131">
        <v>26.26</v>
      </c>
      <c r="R788" s="133">
        <v>26.26</v>
      </c>
      <c r="S788" t="s">
        <v>433</v>
      </c>
      <c r="T788">
        <f t="shared" si="48"/>
        <v>762590.4</v>
      </c>
      <c r="U788">
        <f t="shared" si="49"/>
        <v>1350</v>
      </c>
      <c r="V788">
        <f t="shared" si="50"/>
        <v>798041.4</v>
      </c>
      <c r="W788">
        <f t="shared" si="51"/>
        <v>35451</v>
      </c>
    </row>
    <row r="789" spans="1:23" x14ac:dyDescent="0.25">
      <c r="A789" s="204">
        <v>8602260410</v>
      </c>
      <c r="B789" s="204">
        <v>7224035764</v>
      </c>
      <c r="C789" s="126" t="s">
        <v>343</v>
      </c>
      <c r="D789" s="5">
        <v>6234000600</v>
      </c>
      <c r="E789" s="156">
        <v>44681</v>
      </c>
      <c r="F789" s="155">
        <v>29040</v>
      </c>
      <c r="G789" s="4" t="s">
        <v>1</v>
      </c>
      <c r="H789" s="127"/>
      <c r="I789" s="128">
        <v>0</v>
      </c>
      <c r="J789" s="129">
        <v>26.02</v>
      </c>
      <c r="K789" s="3"/>
      <c r="L789" s="6"/>
      <c r="M789" s="6"/>
      <c r="N789" s="6"/>
      <c r="O789" s="135">
        <v>30390</v>
      </c>
      <c r="P789" s="6"/>
      <c r="Q789" s="131">
        <v>26.02</v>
      </c>
      <c r="R789" s="133">
        <v>26.02</v>
      </c>
      <c r="S789" t="s">
        <v>433</v>
      </c>
      <c r="T789">
        <f t="shared" si="48"/>
        <v>755620.79999999993</v>
      </c>
      <c r="U789">
        <f t="shared" si="49"/>
        <v>1350</v>
      </c>
      <c r="V789">
        <f t="shared" si="50"/>
        <v>790747.79999999993</v>
      </c>
      <c r="W789">
        <f t="shared" si="51"/>
        <v>35127</v>
      </c>
    </row>
    <row r="790" spans="1:23" x14ac:dyDescent="0.25">
      <c r="A790" s="204">
        <v>8602260410</v>
      </c>
      <c r="B790" s="204">
        <v>7224035764</v>
      </c>
      <c r="C790" s="126" t="s">
        <v>343</v>
      </c>
      <c r="D790" s="5">
        <v>6234000600</v>
      </c>
      <c r="E790" s="156">
        <v>44681</v>
      </c>
      <c r="F790" s="155">
        <v>29040</v>
      </c>
      <c r="G790" s="4" t="s">
        <v>1</v>
      </c>
      <c r="H790" s="127"/>
      <c r="I790" s="128">
        <v>0</v>
      </c>
      <c r="J790" s="129">
        <v>26.1</v>
      </c>
      <c r="K790" s="3"/>
      <c r="L790" s="6"/>
      <c r="M790" s="6"/>
      <c r="N790" s="6"/>
      <c r="O790" s="135">
        <v>30390</v>
      </c>
      <c r="P790" s="6"/>
      <c r="Q790" s="131">
        <v>26.1</v>
      </c>
      <c r="R790" s="133">
        <v>26.1</v>
      </c>
      <c r="S790" t="s">
        <v>433</v>
      </c>
      <c r="T790">
        <f t="shared" si="48"/>
        <v>757944</v>
      </c>
      <c r="U790">
        <f t="shared" si="49"/>
        <v>1350</v>
      </c>
      <c r="V790">
        <f t="shared" si="50"/>
        <v>793179</v>
      </c>
      <c r="W790">
        <f t="shared" si="51"/>
        <v>35235</v>
      </c>
    </row>
    <row r="791" spans="1:23" x14ac:dyDescent="0.25">
      <c r="A791" s="204">
        <v>8602260410</v>
      </c>
      <c r="B791" s="204">
        <v>7224035764</v>
      </c>
      <c r="C791" s="126" t="s">
        <v>343</v>
      </c>
      <c r="D791" s="5">
        <v>6234000600</v>
      </c>
      <c r="E791" s="156">
        <v>44681</v>
      </c>
      <c r="F791" s="155">
        <v>29040</v>
      </c>
      <c r="G791" s="4" t="s">
        <v>1</v>
      </c>
      <c r="H791" s="127"/>
      <c r="I791" s="128">
        <v>0</v>
      </c>
      <c r="J791" s="129">
        <v>26.14</v>
      </c>
      <c r="K791" s="3"/>
      <c r="L791" s="6"/>
      <c r="M791" s="6"/>
      <c r="N791" s="6"/>
      <c r="O791" s="135">
        <v>30390</v>
      </c>
      <c r="P791" s="6"/>
      <c r="Q791" s="131">
        <v>26.14</v>
      </c>
      <c r="R791" s="133">
        <v>26.14</v>
      </c>
      <c r="S791" t="s">
        <v>433</v>
      </c>
      <c r="T791">
        <f t="shared" si="48"/>
        <v>759105.6</v>
      </c>
      <c r="U791">
        <f t="shared" si="49"/>
        <v>1350</v>
      </c>
      <c r="V791">
        <f t="shared" si="50"/>
        <v>794394.6</v>
      </c>
      <c r="W791">
        <f t="shared" si="51"/>
        <v>35289</v>
      </c>
    </row>
    <row r="792" spans="1:23" x14ac:dyDescent="0.25">
      <c r="A792" s="204">
        <v>8602260410</v>
      </c>
      <c r="B792" s="204">
        <v>7224035764</v>
      </c>
      <c r="C792" s="126" t="s">
        <v>343</v>
      </c>
      <c r="D792" s="5">
        <v>6234000600</v>
      </c>
      <c r="E792" s="156">
        <v>44682</v>
      </c>
      <c r="F792" s="155">
        <v>29406</v>
      </c>
      <c r="G792" s="4" t="s">
        <v>1</v>
      </c>
      <c r="H792" s="127"/>
      <c r="I792" s="128">
        <v>0</v>
      </c>
      <c r="J792" s="129">
        <v>26.68</v>
      </c>
      <c r="K792" s="3"/>
      <c r="L792" s="6"/>
      <c r="M792" s="6"/>
      <c r="N792" s="6"/>
      <c r="O792" s="135">
        <v>30390</v>
      </c>
      <c r="P792" s="6"/>
      <c r="Q792" s="131">
        <v>26.68</v>
      </c>
      <c r="R792" s="133">
        <v>26.68</v>
      </c>
      <c r="S792" t="s">
        <v>433</v>
      </c>
      <c r="T792">
        <f t="shared" si="48"/>
        <v>784552.08</v>
      </c>
      <c r="U792">
        <f t="shared" si="49"/>
        <v>984</v>
      </c>
      <c r="V792">
        <f t="shared" si="50"/>
        <v>810805.2</v>
      </c>
      <c r="W792">
        <f t="shared" si="51"/>
        <v>26253.119999999995</v>
      </c>
    </row>
    <row r="793" spans="1:23" x14ac:dyDescent="0.25">
      <c r="A793" s="204">
        <v>8602260410</v>
      </c>
      <c r="B793" s="204">
        <v>7224035764</v>
      </c>
      <c r="C793" s="126" t="s">
        <v>343</v>
      </c>
      <c r="D793" s="5">
        <v>6234000600</v>
      </c>
      <c r="E793" s="156">
        <v>44682</v>
      </c>
      <c r="F793" s="155">
        <v>29406</v>
      </c>
      <c r="G793" s="4" t="s">
        <v>1</v>
      </c>
      <c r="H793" s="127"/>
      <c r="I793" s="128">
        <v>0</v>
      </c>
      <c r="J793" s="129">
        <v>25.16</v>
      </c>
      <c r="K793" s="3"/>
      <c r="L793" s="6"/>
      <c r="M793" s="6"/>
      <c r="N793" s="6"/>
      <c r="O793" s="135">
        <v>30390</v>
      </c>
      <c r="P793" s="6"/>
      <c r="Q793" s="131">
        <v>25.16</v>
      </c>
      <c r="R793" s="133">
        <v>25.16</v>
      </c>
      <c r="S793" t="s">
        <v>433</v>
      </c>
      <c r="T793">
        <f t="shared" si="48"/>
        <v>739854.96</v>
      </c>
      <c r="U793">
        <f t="shared" si="49"/>
        <v>984</v>
      </c>
      <c r="V793">
        <f t="shared" si="50"/>
        <v>764612.4</v>
      </c>
      <c r="W793">
        <f t="shared" si="51"/>
        <v>24757.440000000061</v>
      </c>
    </row>
    <row r="794" spans="1:23" x14ac:dyDescent="0.25">
      <c r="A794" s="204">
        <v>8602260410</v>
      </c>
      <c r="B794" s="204">
        <v>7224035764</v>
      </c>
      <c r="C794" s="126" t="s">
        <v>343</v>
      </c>
      <c r="D794" s="5">
        <v>6234000600</v>
      </c>
      <c r="E794" s="156">
        <v>44682</v>
      </c>
      <c r="F794" s="155">
        <v>29406</v>
      </c>
      <c r="G794" s="4" t="s">
        <v>1</v>
      </c>
      <c r="H794" s="127"/>
      <c r="I794" s="128">
        <v>0</v>
      </c>
      <c r="J794" s="129">
        <v>26.04</v>
      </c>
      <c r="K794" s="3"/>
      <c r="L794" s="6"/>
      <c r="M794" s="6"/>
      <c r="N794" s="6"/>
      <c r="O794" s="135">
        <v>30390</v>
      </c>
      <c r="P794" s="6"/>
      <c r="Q794" s="131">
        <v>26.04</v>
      </c>
      <c r="R794" s="133">
        <v>26.04</v>
      </c>
      <c r="S794" t="s">
        <v>433</v>
      </c>
      <c r="T794">
        <f t="shared" si="48"/>
        <v>765732.24</v>
      </c>
      <c r="U794">
        <f t="shared" si="49"/>
        <v>984</v>
      </c>
      <c r="V794">
        <f t="shared" si="50"/>
        <v>791355.6</v>
      </c>
      <c r="W794">
        <f t="shared" si="51"/>
        <v>25623.359999999986</v>
      </c>
    </row>
    <row r="795" spans="1:23" x14ac:dyDescent="0.25">
      <c r="A795" s="204">
        <v>8602260410</v>
      </c>
      <c r="B795" s="204">
        <v>7224035764</v>
      </c>
      <c r="C795" s="126" t="s">
        <v>343</v>
      </c>
      <c r="D795" s="5">
        <v>6234000600</v>
      </c>
      <c r="E795" s="156">
        <v>44684</v>
      </c>
      <c r="F795" s="155">
        <v>29406</v>
      </c>
      <c r="G795" s="4" t="s">
        <v>1</v>
      </c>
      <c r="H795" s="127"/>
      <c r="I795" s="128">
        <v>0</v>
      </c>
      <c r="J795" s="129">
        <v>26.16</v>
      </c>
      <c r="K795" s="3"/>
      <c r="L795" s="6"/>
      <c r="M795" s="6"/>
      <c r="N795" s="6"/>
      <c r="O795" s="135">
        <v>30390</v>
      </c>
      <c r="P795" s="6"/>
      <c r="Q795" s="131">
        <v>26.16</v>
      </c>
      <c r="R795" s="133">
        <v>26.16</v>
      </c>
      <c r="S795" t="s">
        <v>433</v>
      </c>
      <c r="T795">
        <f t="shared" si="48"/>
        <v>769260.96</v>
      </c>
      <c r="U795">
        <f t="shared" si="49"/>
        <v>984</v>
      </c>
      <c r="V795">
        <f t="shared" si="50"/>
        <v>795002.4</v>
      </c>
      <c r="W795">
        <f t="shared" si="51"/>
        <v>25741.440000000061</v>
      </c>
    </row>
    <row r="796" spans="1:23" x14ac:dyDescent="0.25">
      <c r="A796" s="204">
        <v>8602260410</v>
      </c>
      <c r="B796" s="204">
        <v>7224035764</v>
      </c>
      <c r="C796" s="126" t="s">
        <v>343</v>
      </c>
      <c r="D796" s="5">
        <v>6234000600</v>
      </c>
      <c r="E796" s="156">
        <v>44684</v>
      </c>
      <c r="F796" s="155">
        <v>29406</v>
      </c>
      <c r="G796" s="4" t="s">
        <v>1</v>
      </c>
      <c r="H796" s="127"/>
      <c r="I796" s="128">
        <v>0</v>
      </c>
      <c r="J796" s="129">
        <v>26.16</v>
      </c>
      <c r="K796" s="3"/>
      <c r="L796" s="6"/>
      <c r="M796" s="6"/>
      <c r="N796" s="6"/>
      <c r="O796" s="135">
        <v>30390</v>
      </c>
      <c r="P796" s="6"/>
      <c r="Q796" s="131">
        <v>26.16</v>
      </c>
      <c r="R796" s="133">
        <v>26.16</v>
      </c>
      <c r="S796" t="s">
        <v>433</v>
      </c>
      <c r="T796">
        <f t="shared" si="48"/>
        <v>769260.96</v>
      </c>
      <c r="U796">
        <f t="shared" si="49"/>
        <v>984</v>
      </c>
      <c r="V796">
        <f t="shared" si="50"/>
        <v>795002.4</v>
      </c>
      <c r="W796">
        <f t="shared" si="51"/>
        <v>25741.440000000061</v>
      </c>
    </row>
    <row r="797" spans="1:23" x14ac:dyDescent="0.25">
      <c r="A797" s="204">
        <v>8602260410</v>
      </c>
      <c r="B797" s="204">
        <v>7224035764</v>
      </c>
      <c r="C797" s="126" t="s">
        <v>343</v>
      </c>
      <c r="D797" s="5">
        <v>6234000600</v>
      </c>
      <c r="E797" s="156">
        <v>44684</v>
      </c>
      <c r="F797" s="155">
        <v>29406</v>
      </c>
      <c r="G797" s="4" t="s">
        <v>1</v>
      </c>
      <c r="H797" s="127"/>
      <c r="I797" s="128">
        <v>0</v>
      </c>
      <c r="J797" s="129">
        <v>26.04</v>
      </c>
      <c r="K797" s="3"/>
      <c r="L797" s="6"/>
      <c r="M797" s="6"/>
      <c r="N797" s="6"/>
      <c r="O797" s="135">
        <v>30390</v>
      </c>
      <c r="P797" s="6"/>
      <c r="Q797" s="131">
        <v>26.04</v>
      </c>
      <c r="R797" s="133">
        <v>26.04</v>
      </c>
      <c r="S797" t="s">
        <v>433</v>
      </c>
      <c r="T797">
        <f t="shared" si="48"/>
        <v>765732.24</v>
      </c>
      <c r="U797">
        <f t="shared" si="49"/>
        <v>984</v>
      </c>
      <c r="V797">
        <f t="shared" si="50"/>
        <v>791355.6</v>
      </c>
      <c r="W797">
        <f t="shared" si="51"/>
        <v>25623.359999999986</v>
      </c>
    </row>
    <row r="798" spans="1:23" x14ac:dyDescent="0.25">
      <c r="A798" s="204">
        <v>8602260410</v>
      </c>
      <c r="B798" s="204">
        <v>7224035764</v>
      </c>
      <c r="C798" s="138" t="s">
        <v>343</v>
      </c>
      <c r="D798" s="5">
        <v>6234000600</v>
      </c>
      <c r="E798" s="156">
        <v>44684</v>
      </c>
      <c r="F798" s="155">
        <v>29406</v>
      </c>
      <c r="G798" s="4" t="s">
        <v>1</v>
      </c>
      <c r="H798" s="138"/>
      <c r="I798" s="138">
        <v>0</v>
      </c>
      <c r="J798" s="138">
        <v>25.98</v>
      </c>
      <c r="K798" s="3"/>
      <c r="L798" s="6"/>
      <c r="M798" s="6"/>
      <c r="N798" s="6"/>
      <c r="O798" s="135">
        <v>30390</v>
      </c>
      <c r="P798" s="6"/>
      <c r="Q798" s="131">
        <v>25.98</v>
      </c>
      <c r="R798" s="133">
        <v>25.98</v>
      </c>
      <c r="S798" t="s">
        <v>433</v>
      </c>
      <c r="T798">
        <f t="shared" si="48"/>
        <v>763967.88</v>
      </c>
      <c r="U798">
        <f t="shared" si="49"/>
        <v>984</v>
      </c>
      <c r="V798">
        <f t="shared" si="50"/>
        <v>789532.20000000007</v>
      </c>
      <c r="W798">
        <f t="shared" si="51"/>
        <v>25564.320000000065</v>
      </c>
    </row>
    <row r="799" spans="1:23" x14ac:dyDescent="0.25">
      <c r="A799" s="204">
        <v>7203454549</v>
      </c>
      <c r="B799" s="139">
        <v>7203226574</v>
      </c>
      <c r="C799" s="139" t="s">
        <v>0</v>
      </c>
      <c r="D799" s="5">
        <v>6234000600</v>
      </c>
      <c r="E799" s="156">
        <v>44581</v>
      </c>
      <c r="F799" s="155">
        <v>26100</v>
      </c>
      <c r="G799" s="5" t="s">
        <v>421</v>
      </c>
      <c r="H799" s="204">
        <v>5501132737</v>
      </c>
      <c r="I799" s="142">
        <v>2600</v>
      </c>
      <c r="J799" s="138">
        <v>26.24</v>
      </c>
      <c r="K799" s="3" t="s">
        <v>113</v>
      </c>
      <c r="L799" s="3" t="s">
        <v>129</v>
      </c>
      <c r="M799" s="6"/>
      <c r="N799" s="6"/>
      <c r="O799" s="138">
        <v>32600</v>
      </c>
      <c r="P799" s="17" t="s">
        <v>357</v>
      </c>
      <c r="Q799" s="136">
        <v>26.24</v>
      </c>
      <c r="R799" s="137">
        <v>26.24</v>
      </c>
      <c r="S799" t="s">
        <v>433</v>
      </c>
      <c r="T799">
        <f t="shared" si="48"/>
        <v>753088</v>
      </c>
      <c r="U799">
        <f t="shared" si="49"/>
        <v>3900</v>
      </c>
      <c r="V799">
        <f t="shared" si="50"/>
        <v>855424</v>
      </c>
      <c r="W799">
        <f t="shared" si="51"/>
        <v>102336</v>
      </c>
    </row>
    <row r="800" spans="1:23" x14ac:dyDescent="0.25">
      <c r="A800" s="204">
        <v>7203454549</v>
      </c>
      <c r="B800" s="139">
        <v>7203226574</v>
      </c>
      <c r="C800" s="139" t="s">
        <v>0</v>
      </c>
      <c r="D800" s="5">
        <v>6234000600</v>
      </c>
      <c r="E800" s="156">
        <v>44581</v>
      </c>
      <c r="F800" s="155">
        <v>26100</v>
      </c>
      <c r="G800" s="5" t="s">
        <v>421</v>
      </c>
      <c r="H800" s="204">
        <v>5501132737</v>
      </c>
      <c r="I800" s="142">
        <v>2600</v>
      </c>
      <c r="J800" s="138">
        <v>26.16</v>
      </c>
      <c r="K800" s="3" t="s">
        <v>114</v>
      </c>
      <c r="L800" s="3" t="s">
        <v>130</v>
      </c>
      <c r="M800" s="6"/>
      <c r="N800" s="6"/>
      <c r="O800" s="138">
        <v>32600</v>
      </c>
      <c r="P800" s="17" t="s">
        <v>357</v>
      </c>
      <c r="Q800" s="136">
        <v>26.16</v>
      </c>
      <c r="R800" s="137">
        <v>26.16</v>
      </c>
      <c r="S800" t="s">
        <v>433</v>
      </c>
      <c r="T800">
        <f t="shared" si="48"/>
        <v>750792</v>
      </c>
      <c r="U800">
        <f t="shared" si="49"/>
        <v>3900</v>
      </c>
      <c r="V800">
        <f t="shared" si="50"/>
        <v>852816</v>
      </c>
      <c r="W800">
        <f t="shared" si="51"/>
        <v>102024</v>
      </c>
    </row>
    <row r="801" spans="1:23" x14ac:dyDescent="0.25">
      <c r="A801" s="204">
        <v>7203454549</v>
      </c>
      <c r="B801" s="204">
        <v>7203226574</v>
      </c>
      <c r="C801" s="139" t="s">
        <v>0</v>
      </c>
      <c r="D801" s="5">
        <v>6234000600</v>
      </c>
      <c r="E801" s="156">
        <v>44581</v>
      </c>
      <c r="F801" s="155">
        <v>26100</v>
      </c>
      <c r="G801" s="5" t="s">
        <v>421</v>
      </c>
      <c r="H801" s="204">
        <v>5501132737</v>
      </c>
      <c r="I801" s="142">
        <v>2600</v>
      </c>
      <c r="J801" s="138">
        <v>26.3</v>
      </c>
      <c r="K801" s="3" t="s">
        <v>6</v>
      </c>
      <c r="L801" s="3" t="s">
        <v>23</v>
      </c>
      <c r="M801" s="6"/>
      <c r="N801" s="6"/>
      <c r="O801" s="138">
        <v>32600</v>
      </c>
      <c r="P801" s="17" t="s">
        <v>357</v>
      </c>
      <c r="Q801" s="136">
        <v>26.3</v>
      </c>
      <c r="R801" s="137">
        <v>26.3</v>
      </c>
      <c r="S801" t="s">
        <v>433</v>
      </c>
      <c r="T801">
        <f t="shared" si="48"/>
        <v>754810</v>
      </c>
      <c r="U801">
        <f t="shared" si="49"/>
        <v>3900</v>
      </c>
      <c r="V801">
        <f t="shared" si="50"/>
        <v>857380</v>
      </c>
      <c r="W801">
        <f t="shared" si="51"/>
        <v>102570</v>
      </c>
    </row>
    <row r="802" spans="1:23" x14ac:dyDescent="0.25">
      <c r="A802" s="204">
        <v>7203454549</v>
      </c>
      <c r="B802" s="204">
        <v>7203226574</v>
      </c>
      <c r="C802" s="139" t="s">
        <v>0</v>
      </c>
      <c r="D802" s="5">
        <v>6234000600</v>
      </c>
      <c r="E802" s="156">
        <v>44581</v>
      </c>
      <c r="F802" s="155">
        <v>26100</v>
      </c>
      <c r="G802" s="5" t="s">
        <v>421</v>
      </c>
      <c r="H802" s="204">
        <v>5501132737</v>
      </c>
      <c r="I802" s="142">
        <v>2600</v>
      </c>
      <c r="J802" s="138">
        <v>24.24</v>
      </c>
      <c r="K802" s="3" t="s">
        <v>183</v>
      </c>
      <c r="L802" s="3" t="s">
        <v>227</v>
      </c>
      <c r="M802" s="6"/>
      <c r="N802" s="6"/>
      <c r="O802" s="138">
        <v>32600</v>
      </c>
      <c r="P802" s="17" t="s">
        <v>357</v>
      </c>
      <c r="Q802" s="136">
        <v>24.24</v>
      </c>
      <c r="R802" s="137">
        <v>24.24</v>
      </c>
      <c r="S802" t="s">
        <v>433</v>
      </c>
      <c r="T802">
        <f t="shared" si="48"/>
        <v>695688</v>
      </c>
      <c r="U802">
        <f t="shared" si="49"/>
        <v>3900</v>
      </c>
      <c r="V802">
        <f t="shared" si="50"/>
        <v>790224</v>
      </c>
      <c r="W802">
        <f t="shared" si="51"/>
        <v>94536</v>
      </c>
    </row>
    <row r="803" spans="1:23" x14ac:dyDescent="0.25">
      <c r="A803" s="204">
        <v>7203454549</v>
      </c>
      <c r="B803" s="204">
        <v>7203226574</v>
      </c>
      <c r="C803" s="139" t="s">
        <v>0</v>
      </c>
      <c r="D803" s="5">
        <v>6234000600</v>
      </c>
      <c r="E803" s="156">
        <v>44581</v>
      </c>
      <c r="F803" s="155">
        <v>26100</v>
      </c>
      <c r="G803" s="5" t="s">
        <v>421</v>
      </c>
      <c r="H803" s="204">
        <v>5501132737</v>
      </c>
      <c r="I803" s="142">
        <v>2600</v>
      </c>
      <c r="J803" s="138">
        <v>24.32</v>
      </c>
      <c r="K803" s="3" t="s">
        <v>182</v>
      </c>
      <c r="L803" s="3" t="s">
        <v>226</v>
      </c>
      <c r="M803" s="6"/>
      <c r="N803" s="6"/>
      <c r="O803" s="138">
        <v>32600</v>
      </c>
      <c r="P803" s="17" t="s">
        <v>357</v>
      </c>
      <c r="Q803" s="136">
        <v>24.32</v>
      </c>
      <c r="R803" s="137">
        <v>24.32</v>
      </c>
      <c r="S803" t="s">
        <v>433</v>
      </c>
      <c r="T803">
        <f t="shared" si="48"/>
        <v>697984</v>
      </c>
      <c r="U803">
        <f t="shared" si="49"/>
        <v>3900</v>
      </c>
      <c r="V803">
        <f t="shared" si="50"/>
        <v>792832</v>
      </c>
      <c r="W803">
        <f t="shared" si="51"/>
        <v>94848</v>
      </c>
    </row>
    <row r="804" spans="1:23" x14ac:dyDescent="0.25">
      <c r="A804" s="204">
        <v>7203454549</v>
      </c>
      <c r="B804" s="204">
        <v>7203226574</v>
      </c>
      <c r="C804" s="139" t="s">
        <v>0</v>
      </c>
      <c r="D804" s="5">
        <v>6234000600</v>
      </c>
      <c r="E804" s="156">
        <v>44582</v>
      </c>
      <c r="F804" s="155">
        <v>26500</v>
      </c>
      <c r="G804" s="5" t="s">
        <v>421</v>
      </c>
      <c r="H804" s="204">
        <v>5501132737</v>
      </c>
      <c r="I804" s="142">
        <v>2600</v>
      </c>
      <c r="J804" s="138">
        <v>26.56</v>
      </c>
      <c r="K804" s="3" t="s">
        <v>349</v>
      </c>
      <c r="L804" s="3" t="s">
        <v>358</v>
      </c>
      <c r="M804" s="6"/>
      <c r="N804" s="6"/>
      <c r="O804" s="138">
        <v>32600</v>
      </c>
      <c r="P804" s="17" t="s">
        <v>357</v>
      </c>
      <c r="Q804" s="136">
        <v>26.56</v>
      </c>
      <c r="R804" s="137">
        <v>26.56</v>
      </c>
      <c r="S804" t="s">
        <v>433</v>
      </c>
      <c r="T804">
        <f t="shared" si="48"/>
        <v>772896</v>
      </c>
      <c r="U804">
        <f t="shared" si="49"/>
        <v>3500</v>
      </c>
      <c r="V804">
        <f t="shared" si="50"/>
        <v>865856</v>
      </c>
      <c r="W804">
        <f t="shared" si="51"/>
        <v>92960</v>
      </c>
    </row>
    <row r="805" spans="1:23" x14ac:dyDescent="0.25">
      <c r="A805" s="204">
        <v>7203454549</v>
      </c>
      <c r="B805" s="204">
        <v>7203226574</v>
      </c>
      <c r="C805" s="139" t="s">
        <v>0</v>
      </c>
      <c r="D805" s="5">
        <v>6234000600</v>
      </c>
      <c r="E805" s="156">
        <v>44582</v>
      </c>
      <c r="F805" s="155">
        <v>26500</v>
      </c>
      <c r="G805" s="5" t="s">
        <v>421</v>
      </c>
      <c r="H805" s="204">
        <v>5501132737</v>
      </c>
      <c r="I805" s="142">
        <v>2600</v>
      </c>
      <c r="J805" s="138">
        <v>26.38</v>
      </c>
      <c r="K805" s="3" t="s">
        <v>350</v>
      </c>
      <c r="L805" s="3" t="s">
        <v>359</v>
      </c>
      <c r="M805" s="6"/>
      <c r="N805" s="6"/>
      <c r="O805" s="138">
        <v>32600</v>
      </c>
      <c r="P805" s="17" t="s">
        <v>357</v>
      </c>
      <c r="Q805" s="136">
        <v>26.38</v>
      </c>
      <c r="R805" s="137">
        <v>26.38</v>
      </c>
      <c r="S805" t="s">
        <v>433</v>
      </c>
      <c r="T805">
        <f t="shared" si="48"/>
        <v>767658</v>
      </c>
      <c r="U805">
        <f t="shared" si="49"/>
        <v>3500</v>
      </c>
      <c r="V805">
        <f t="shared" si="50"/>
        <v>859988</v>
      </c>
      <c r="W805">
        <f t="shared" si="51"/>
        <v>92330</v>
      </c>
    </row>
    <row r="806" spans="1:23" x14ac:dyDescent="0.25">
      <c r="A806" s="204">
        <v>7203454549</v>
      </c>
      <c r="B806" s="204">
        <v>7203226574</v>
      </c>
      <c r="C806" s="139" t="s">
        <v>0</v>
      </c>
      <c r="D806" s="5">
        <v>6234000600</v>
      </c>
      <c r="E806" s="156">
        <v>44582</v>
      </c>
      <c r="F806" s="155">
        <v>26500</v>
      </c>
      <c r="G806" s="5" t="s">
        <v>421</v>
      </c>
      <c r="H806" s="204">
        <v>5501132737</v>
      </c>
      <c r="I806" s="142">
        <v>2600</v>
      </c>
      <c r="J806" s="138">
        <v>26.08</v>
      </c>
      <c r="K806" s="3" t="s">
        <v>17</v>
      </c>
      <c r="L806" s="3" t="s">
        <v>36</v>
      </c>
      <c r="M806" s="6"/>
      <c r="N806" s="6"/>
      <c r="O806" s="138">
        <v>32600</v>
      </c>
      <c r="P806" s="17" t="s">
        <v>357</v>
      </c>
      <c r="Q806" s="136">
        <v>26.08</v>
      </c>
      <c r="R806" s="137">
        <v>26.08</v>
      </c>
      <c r="S806" t="s">
        <v>433</v>
      </c>
      <c r="T806">
        <f t="shared" si="48"/>
        <v>758928</v>
      </c>
      <c r="U806">
        <f t="shared" si="49"/>
        <v>3500</v>
      </c>
      <c r="V806">
        <f t="shared" si="50"/>
        <v>850208</v>
      </c>
      <c r="W806">
        <f t="shared" si="51"/>
        <v>91280</v>
      </c>
    </row>
    <row r="807" spans="1:23" x14ac:dyDescent="0.25">
      <c r="A807" s="204">
        <v>7203454549</v>
      </c>
      <c r="B807" s="204">
        <v>7203226574</v>
      </c>
      <c r="C807" s="139" t="s">
        <v>0</v>
      </c>
      <c r="D807" s="5">
        <v>6234000600</v>
      </c>
      <c r="E807" s="156">
        <v>44582</v>
      </c>
      <c r="F807" s="155">
        <v>26500</v>
      </c>
      <c r="G807" s="5" t="s">
        <v>421</v>
      </c>
      <c r="H807" s="204">
        <v>5501132737</v>
      </c>
      <c r="I807" s="142">
        <v>2600</v>
      </c>
      <c r="J807" s="138">
        <v>25.82</v>
      </c>
      <c r="K807" s="3" t="s">
        <v>16</v>
      </c>
      <c r="L807" s="3" t="s">
        <v>35</v>
      </c>
      <c r="M807" s="6"/>
      <c r="N807" s="6"/>
      <c r="O807" s="138">
        <v>32600</v>
      </c>
      <c r="P807" s="17" t="s">
        <v>357</v>
      </c>
      <c r="Q807" s="136">
        <v>25.82</v>
      </c>
      <c r="R807" s="137">
        <v>25.82</v>
      </c>
      <c r="S807" t="s">
        <v>433</v>
      </c>
      <c r="T807">
        <f t="shared" si="48"/>
        <v>751362</v>
      </c>
      <c r="U807">
        <f t="shared" si="49"/>
        <v>3500</v>
      </c>
      <c r="V807">
        <f t="shared" si="50"/>
        <v>841732</v>
      </c>
      <c r="W807">
        <f t="shared" si="51"/>
        <v>90370</v>
      </c>
    </row>
    <row r="808" spans="1:23" x14ac:dyDescent="0.25">
      <c r="A808" s="204">
        <v>7203454549</v>
      </c>
      <c r="B808" s="204">
        <v>7203226574</v>
      </c>
      <c r="C808" s="139" t="s">
        <v>0</v>
      </c>
      <c r="D808" s="5">
        <v>6234000600</v>
      </c>
      <c r="E808" s="156">
        <v>44583</v>
      </c>
      <c r="F808" s="155">
        <v>26500</v>
      </c>
      <c r="G808" s="5" t="s">
        <v>421</v>
      </c>
      <c r="H808" s="204">
        <v>5501208190</v>
      </c>
      <c r="I808" s="142">
        <v>2400</v>
      </c>
      <c r="J808" s="138">
        <v>26.36</v>
      </c>
      <c r="K808" s="3" t="s">
        <v>5</v>
      </c>
      <c r="L808" s="3" t="s">
        <v>22</v>
      </c>
      <c r="M808" s="6"/>
      <c r="N808" s="6"/>
      <c r="O808" s="138">
        <v>32600</v>
      </c>
      <c r="P808" s="17" t="s">
        <v>357</v>
      </c>
      <c r="Q808" s="136">
        <v>26.36</v>
      </c>
      <c r="R808" s="137">
        <v>26.36</v>
      </c>
      <c r="S808" t="s">
        <v>433</v>
      </c>
      <c r="T808">
        <f t="shared" si="48"/>
        <v>761804</v>
      </c>
      <c r="U808">
        <f t="shared" si="49"/>
        <v>3700</v>
      </c>
      <c r="V808">
        <f t="shared" si="50"/>
        <v>859336</v>
      </c>
      <c r="W808">
        <f t="shared" si="51"/>
        <v>97532</v>
      </c>
    </row>
    <row r="809" spans="1:23" x14ac:dyDescent="0.25">
      <c r="A809" s="204">
        <v>7203454549</v>
      </c>
      <c r="B809" s="204">
        <v>7203226574</v>
      </c>
      <c r="C809" s="139" t="s">
        <v>0</v>
      </c>
      <c r="D809" s="5">
        <v>6234000600</v>
      </c>
      <c r="E809" s="156">
        <v>44583</v>
      </c>
      <c r="F809" s="155">
        <v>26500</v>
      </c>
      <c r="G809" s="5" t="s">
        <v>421</v>
      </c>
      <c r="H809" s="204">
        <v>5501208190</v>
      </c>
      <c r="I809" s="142">
        <v>2400</v>
      </c>
      <c r="J809" s="138">
        <v>26.72</v>
      </c>
      <c r="K809" s="3" t="s">
        <v>3</v>
      </c>
      <c r="L809" s="3" t="s">
        <v>20</v>
      </c>
      <c r="M809" s="6"/>
      <c r="N809" s="6"/>
      <c r="O809" s="138">
        <v>32600</v>
      </c>
      <c r="P809" s="17" t="s">
        <v>357</v>
      </c>
      <c r="Q809" s="136">
        <v>26.72</v>
      </c>
      <c r="R809" s="137">
        <v>26.72</v>
      </c>
      <c r="S809" t="s">
        <v>433</v>
      </c>
      <c r="T809">
        <f t="shared" si="48"/>
        <v>772208</v>
      </c>
      <c r="U809">
        <f t="shared" si="49"/>
        <v>3700</v>
      </c>
      <c r="V809">
        <f t="shared" si="50"/>
        <v>871072</v>
      </c>
      <c r="W809">
        <f t="shared" si="51"/>
        <v>98864</v>
      </c>
    </row>
    <row r="810" spans="1:23" x14ac:dyDescent="0.25">
      <c r="A810" s="204">
        <v>7203454549</v>
      </c>
      <c r="B810" s="204">
        <v>7203226574</v>
      </c>
      <c r="C810" s="139" t="s">
        <v>0</v>
      </c>
      <c r="D810" s="5">
        <v>6234000600</v>
      </c>
      <c r="E810" s="156">
        <v>44583</v>
      </c>
      <c r="F810" s="155">
        <v>26100</v>
      </c>
      <c r="G810" s="5" t="s">
        <v>421</v>
      </c>
      <c r="H810" s="204">
        <v>5501132737</v>
      </c>
      <c r="I810" s="142">
        <v>2600</v>
      </c>
      <c r="J810" s="138">
        <v>24.36</v>
      </c>
      <c r="K810" s="3" t="s">
        <v>183</v>
      </c>
      <c r="L810" s="3" t="s">
        <v>227</v>
      </c>
      <c r="M810" s="6"/>
      <c r="N810" s="6"/>
      <c r="O810" s="138">
        <v>32600</v>
      </c>
      <c r="P810" s="17" t="s">
        <v>357</v>
      </c>
      <c r="Q810" s="136">
        <v>24.36</v>
      </c>
      <c r="R810" s="137">
        <v>24.36</v>
      </c>
      <c r="S810" t="s">
        <v>433</v>
      </c>
      <c r="T810">
        <f t="shared" si="48"/>
        <v>699132</v>
      </c>
      <c r="U810">
        <f t="shared" si="49"/>
        <v>3900</v>
      </c>
      <c r="V810">
        <f t="shared" si="50"/>
        <v>794136</v>
      </c>
      <c r="W810">
        <f t="shared" si="51"/>
        <v>95004</v>
      </c>
    </row>
    <row r="811" spans="1:23" x14ac:dyDescent="0.25">
      <c r="A811" s="204">
        <v>7203454549</v>
      </c>
      <c r="B811" s="204">
        <v>7203226574</v>
      </c>
      <c r="C811" s="139" t="s">
        <v>0</v>
      </c>
      <c r="D811" s="5">
        <v>6234000600</v>
      </c>
      <c r="E811" s="156">
        <v>44583</v>
      </c>
      <c r="F811" s="155">
        <v>26100</v>
      </c>
      <c r="G811" s="5" t="s">
        <v>421</v>
      </c>
      <c r="H811" s="204">
        <v>5501132737</v>
      </c>
      <c r="I811" s="142">
        <v>2600</v>
      </c>
      <c r="J811" s="138">
        <v>26.28</v>
      </c>
      <c r="K811" s="3" t="s">
        <v>6</v>
      </c>
      <c r="L811" s="3" t="s">
        <v>23</v>
      </c>
      <c r="M811" s="6"/>
      <c r="N811" s="6"/>
      <c r="O811" s="138">
        <v>32600</v>
      </c>
      <c r="P811" s="17" t="s">
        <v>357</v>
      </c>
      <c r="Q811" s="136">
        <v>26.28</v>
      </c>
      <c r="R811" s="137">
        <v>26.28</v>
      </c>
      <c r="S811" t="s">
        <v>433</v>
      </c>
      <c r="T811">
        <f t="shared" si="48"/>
        <v>754236</v>
      </c>
      <c r="U811">
        <f t="shared" si="49"/>
        <v>3900</v>
      </c>
      <c r="V811">
        <f t="shared" si="50"/>
        <v>856728</v>
      </c>
      <c r="W811">
        <f t="shared" si="51"/>
        <v>102492</v>
      </c>
    </row>
    <row r="812" spans="1:23" x14ac:dyDescent="0.25">
      <c r="A812" s="204">
        <v>7203454549</v>
      </c>
      <c r="B812" s="204">
        <v>7203226574</v>
      </c>
      <c r="C812" s="139" t="s">
        <v>0</v>
      </c>
      <c r="D812" s="5">
        <v>6234000600</v>
      </c>
      <c r="E812" s="156">
        <v>44583</v>
      </c>
      <c r="F812" s="155">
        <v>26100</v>
      </c>
      <c r="G812" s="5" t="s">
        <v>421</v>
      </c>
      <c r="H812" s="204">
        <v>5501132737</v>
      </c>
      <c r="I812" s="142">
        <v>2600</v>
      </c>
      <c r="J812" s="138">
        <v>26.34</v>
      </c>
      <c r="K812" s="3" t="s">
        <v>113</v>
      </c>
      <c r="L812" s="3" t="s">
        <v>129</v>
      </c>
      <c r="M812" s="6"/>
      <c r="N812" s="6"/>
      <c r="O812" s="138">
        <v>32600</v>
      </c>
      <c r="P812" s="17" t="s">
        <v>357</v>
      </c>
      <c r="Q812" s="136">
        <v>26.34</v>
      </c>
      <c r="R812" s="137">
        <v>26.34</v>
      </c>
      <c r="S812" t="s">
        <v>433</v>
      </c>
      <c r="T812">
        <f t="shared" si="48"/>
        <v>755958</v>
      </c>
      <c r="U812">
        <f t="shared" si="49"/>
        <v>3900</v>
      </c>
      <c r="V812">
        <f t="shared" si="50"/>
        <v>858684</v>
      </c>
      <c r="W812">
        <f t="shared" si="51"/>
        <v>102726</v>
      </c>
    </row>
    <row r="813" spans="1:23" x14ac:dyDescent="0.25">
      <c r="A813" s="204">
        <v>7203454549</v>
      </c>
      <c r="B813" s="204">
        <v>7203226574</v>
      </c>
      <c r="C813" s="139" t="s">
        <v>0</v>
      </c>
      <c r="D813" s="5">
        <v>6234000600</v>
      </c>
      <c r="E813" s="156">
        <v>44583</v>
      </c>
      <c r="F813" s="155">
        <v>26100</v>
      </c>
      <c r="G813" s="5" t="s">
        <v>421</v>
      </c>
      <c r="H813" s="204">
        <v>5501132737</v>
      </c>
      <c r="I813" s="142">
        <v>2600</v>
      </c>
      <c r="J813" s="138">
        <v>26.32</v>
      </c>
      <c r="K813" s="3" t="s">
        <v>114</v>
      </c>
      <c r="L813" s="3" t="s">
        <v>130</v>
      </c>
      <c r="M813" s="6"/>
      <c r="N813" s="6"/>
      <c r="O813" s="138">
        <v>32600</v>
      </c>
      <c r="P813" s="17" t="s">
        <v>357</v>
      </c>
      <c r="Q813" s="136">
        <v>26.32</v>
      </c>
      <c r="R813" s="137">
        <v>26.32</v>
      </c>
      <c r="S813" t="s">
        <v>433</v>
      </c>
      <c r="T813">
        <f t="shared" si="48"/>
        <v>755384</v>
      </c>
      <c r="U813">
        <f t="shared" si="49"/>
        <v>3900</v>
      </c>
      <c r="V813">
        <f t="shared" si="50"/>
        <v>858032</v>
      </c>
      <c r="W813">
        <f t="shared" si="51"/>
        <v>102648</v>
      </c>
    </row>
    <row r="814" spans="1:23" x14ac:dyDescent="0.25">
      <c r="A814" s="204">
        <v>7203454549</v>
      </c>
      <c r="B814" s="204">
        <v>7203226574</v>
      </c>
      <c r="C814" s="139" t="s">
        <v>0</v>
      </c>
      <c r="D814" s="5">
        <v>6234000600</v>
      </c>
      <c r="E814" s="156">
        <v>44584</v>
      </c>
      <c r="F814" s="155">
        <v>26100</v>
      </c>
      <c r="G814" s="5" t="s">
        <v>421</v>
      </c>
      <c r="H814" s="204">
        <v>5501132737</v>
      </c>
      <c r="I814" s="142">
        <v>2600</v>
      </c>
      <c r="J814" s="138">
        <v>26.58</v>
      </c>
      <c r="K814" s="3" t="s">
        <v>350</v>
      </c>
      <c r="L814" s="3" t="s">
        <v>359</v>
      </c>
      <c r="M814" s="6"/>
      <c r="N814" s="6"/>
      <c r="O814" s="138">
        <v>32600</v>
      </c>
      <c r="P814" s="17" t="s">
        <v>357</v>
      </c>
      <c r="Q814" s="136">
        <v>26.58</v>
      </c>
      <c r="R814" s="137">
        <v>26.58</v>
      </c>
      <c r="S814" t="s">
        <v>433</v>
      </c>
      <c r="T814">
        <f t="shared" si="48"/>
        <v>762846</v>
      </c>
      <c r="U814">
        <f t="shared" si="49"/>
        <v>3900</v>
      </c>
      <c r="V814">
        <f t="shared" si="50"/>
        <v>866508</v>
      </c>
      <c r="W814">
        <f t="shared" si="51"/>
        <v>103662</v>
      </c>
    </row>
    <row r="815" spans="1:23" x14ac:dyDescent="0.25">
      <c r="A815" s="204">
        <v>7203454549</v>
      </c>
      <c r="B815" s="204">
        <v>7203226574</v>
      </c>
      <c r="C815" s="139" t="s">
        <v>0</v>
      </c>
      <c r="D815" s="5">
        <v>6234000600</v>
      </c>
      <c r="E815" s="156">
        <v>44584</v>
      </c>
      <c r="F815" s="155">
        <v>26100</v>
      </c>
      <c r="G815" s="5" t="s">
        <v>421</v>
      </c>
      <c r="H815" s="204">
        <v>5501132737</v>
      </c>
      <c r="I815" s="142">
        <v>2600</v>
      </c>
      <c r="J815" s="138">
        <v>26.24</v>
      </c>
      <c r="K815" s="3" t="s">
        <v>17</v>
      </c>
      <c r="L815" s="3" t="s">
        <v>36</v>
      </c>
      <c r="M815" s="6"/>
      <c r="N815" s="6"/>
      <c r="O815" s="138">
        <v>32600</v>
      </c>
      <c r="P815" s="17" t="s">
        <v>357</v>
      </c>
      <c r="Q815" s="136">
        <v>26.24</v>
      </c>
      <c r="R815" s="137">
        <v>26.24</v>
      </c>
      <c r="S815" t="s">
        <v>433</v>
      </c>
      <c r="T815">
        <f t="shared" si="48"/>
        <v>753088</v>
      </c>
      <c r="U815">
        <f t="shared" si="49"/>
        <v>3900</v>
      </c>
      <c r="V815">
        <f t="shared" si="50"/>
        <v>855424</v>
      </c>
      <c r="W815">
        <f t="shared" si="51"/>
        <v>102336</v>
      </c>
    </row>
    <row r="816" spans="1:23" x14ac:dyDescent="0.25">
      <c r="A816" s="204">
        <v>7203454549</v>
      </c>
      <c r="B816" s="204">
        <v>7203226574</v>
      </c>
      <c r="C816" s="139" t="s">
        <v>0</v>
      </c>
      <c r="D816" s="5">
        <v>6234000600</v>
      </c>
      <c r="E816" s="156">
        <v>44584</v>
      </c>
      <c r="F816" s="155">
        <v>26100</v>
      </c>
      <c r="G816" s="5" t="s">
        <v>421</v>
      </c>
      <c r="H816" s="204">
        <v>5501132737</v>
      </c>
      <c r="I816" s="142">
        <v>2600</v>
      </c>
      <c r="J816" s="138">
        <v>26.52</v>
      </c>
      <c r="K816" s="3" t="s">
        <v>349</v>
      </c>
      <c r="L816" s="3" t="s">
        <v>358</v>
      </c>
      <c r="M816" s="6"/>
      <c r="N816" s="6"/>
      <c r="O816" s="138">
        <v>32600</v>
      </c>
      <c r="P816" s="17" t="s">
        <v>357</v>
      </c>
      <c r="Q816" s="136">
        <v>26.52</v>
      </c>
      <c r="R816" s="137">
        <v>26.52</v>
      </c>
      <c r="S816" t="s">
        <v>433</v>
      </c>
      <c r="T816">
        <f t="shared" si="48"/>
        <v>761124</v>
      </c>
      <c r="U816">
        <f t="shared" si="49"/>
        <v>3900</v>
      </c>
      <c r="V816">
        <f t="shared" si="50"/>
        <v>864552</v>
      </c>
      <c r="W816">
        <f t="shared" si="51"/>
        <v>103428</v>
      </c>
    </row>
    <row r="817" spans="1:23" x14ac:dyDescent="0.25">
      <c r="A817" s="204">
        <v>7203454549</v>
      </c>
      <c r="B817" s="204">
        <v>7203226574</v>
      </c>
      <c r="C817" s="139" t="s">
        <v>0</v>
      </c>
      <c r="D817" s="5">
        <v>6234000600</v>
      </c>
      <c r="E817" s="156">
        <v>44584</v>
      </c>
      <c r="F817" s="155">
        <v>26100</v>
      </c>
      <c r="G817" s="5" t="s">
        <v>421</v>
      </c>
      <c r="H817" s="204">
        <v>5501132737</v>
      </c>
      <c r="I817" s="142">
        <v>2600</v>
      </c>
      <c r="J817" s="138">
        <v>26.58</v>
      </c>
      <c r="K817" s="3" t="s">
        <v>351</v>
      </c>
      <c r="L817" s="3" t="s">
        <v>360</v>
      </c>
      <c r="M817" s="6"/>
      <c r="N817" s="6"/>
      <c r="O817" s="138">
        <v>32600</v>
      </c>
      <c r="P817" s="17" t="s">
        <v>357</v>
      </c>
      <c r="Q817" s="136">
        <v>26.58</v>
      </c>
      <c r="R817" s="137">
        <v>26.58</v>
      </c>
      <c r="S817" t="s">
        <v>433</v>
      </c>
      <c r="T817">
        <f t="shared" si="48"/>
        <v>762846</v>
      </c>
      <c r="U817">
        <f t="shared" si="49"/>
        <v>3900</v>
      </c>
      <c r="V817">
        <f t="shared" si="50"/>
        <v>866508</v>
      </c>
      <c r="W817">
        <f t="shared" si="51"/>
        <v>103662</v>
      </c>
    </row>
    <row r="818" spans="1:23" x14ac:dyDescent="0.25">
      <c r="A818" s="204">
        <v>7203454549</v>
      </c>
      <c r="B818" s="204">
        <v>7203226574</v>
      </c>
      <c r="C818" s="139" t="s">
        <v>0</v>
      </c>
      <c r="D818" s="5">
        <v>6234000600</v>
      </c>
      <c r="E818" s="156">
        <v>44584</v>
      </c>
      <c r="F818" s="155">
        <v>26100</v>
      </c>
      <c r="G818" s="5" t="s">
        <v>421</v>
      </c>
      <c r="H818" s="204">
        <v>5501132737</v>
      </c>
      <c r="I818" s="142">
        <v>2600</v>
      </c>
      <c r="J818" s="138">
        <v>24.46</v>
      </c>
      <c r="K818" s="3" t="s">
        <v>195</v>
      </c>
      <c r="L818" s="3" t="s">
        <v>299</v>
      </c>
      <c r="M818" s="6"/>
      <c r="N818" s="6"/>
      <c r="O818" s="138">
        <v>32600</v>
      </c>
      <c r="P818" s="17" t="s">
        <v>357</v>
      </c>
      <c r="Q818" s="136">
        <v>24.46</v>
      </c>
      <c r="R818" s="137">
        <v>24.46</v>
      </c>
      <c r="S818" t="s">
        <v>433</v>
      </c>
      <c r="T818">
        <f t="shared" si="48"/>
        <v>702002</v>
      </c>
      <c r="U818">
        <f t="shared" si="49"/>
        <v>3900</v>
      </c>
      <c r="V818">
        <f t="shared" si="50"/>
        <v>797396</v>
      </c>
      <c r="W818">
        <f t="shared" si="51"/>
        <v>95394</v>
      </c>
    </row>
    <row r="819" spans="1:23" x14ac:dyDescent="0.25">
      <c r="A819" s="204">
        <v>7203454549</v>
      </c>
      <c r="B819" s="204">
        <v>7203226574</v>
      </c>
      <c r="C819" s="139" t="s">
        <v>0</v>
      </c>
      <c r="D819" s="5">
        <v>6234000600</v>
      </c>
      <c r="E819" s="156">
        <v>44584</v>
      </c>
      <c r="F819" s="155">
        <v>26100</v>
      </c>
      <c r="G819" s="5" t="s">
        <v>421</v>
      </c>
      <c r="H819" s="204">
        <v>5506225174</v>
      </c>
      <c r="I819" s="142">
        <v>2400</v>
      </c>
      <c r="J819" s="138">
        <v>26.8</v>
      </c>
      <c r="K819" s="3" t="s">
        <v>352</v>
      </c>
      <c r="L819" s="3" t="s">
        <v>361</v>
      </c>
      <c r="M819" s="6"/>
      <c r="N819" s="6"/>
      <c r="O819" s="138">
        <v>32600</v>
      </c>
      <c r="P819" s="17" t="s">
        <v>357</v>
      </c>
      <c r="Q819" s="136">
        <v>26.8</v>
      </c>
      <c r="R819" s="137">
        <v>26.8</v>
      </c>
      <c r="S819" t="s">
        <v>433</v>
      </c>
      <c r="T819">
        <f t="shared" si="48"/>
        <v>763800</v>
      </c>
      <c r="U819">
        <f t="shared" si="49"/>
        <v>4100</v>
      </c>
      <c r="V819">
        <f t="shared" si="50"/>
        <v>873680</v>
      </c>
      <c r="W819">
        <f t="shared" si="51"/>
        <v>109880</v>
      </c>
    </row>
    <row r="820" spans="1:23" x14ac:dyDescent="0.25">
      <c r="A820" s="204">
        <v>7203454549</v>
      </c>
      <c r="B820" s="204">
        <v>7203226574</v>
      </c>
      <c r="C820" s="139" t="s">
        <v>0</v>
      </c>
      <c r="D820" s="5">
        <v>6234000600</v>
      </c>
      <c r="E820" s="156">
        <v>44586</v>
      </c>
      <c r="F820" s="155">
        <v>26100</v>
      </c>
      <c r="G820" s="5" t="s">
        <v>421</v>
      </c>
      <c r="H820" s="204">
        <v>5503182532</v>
      </c>
      <c r="I820" s="142">
        <v>2300</v>
      </c>
      <c r="J820" s="138">
        <v>25.32</v>
      </c>
      <c r="K820" s="3" t="s">
        <v>2</v>
      </c>
      <c r="L820" s="3" t="s">
        <v>19</v>
      </c>
      <c r="M820" s="6"/>
      <c r="N820" s="6"/>
      <c r="O820" s="138">
        <v>32600</v>
      </c>
      <c r="P820" s="17" t="s">
        <v>357</v>
      </c>
      <c r="Q820" s="136">
        <v>25.32</v>
      </c>
      <c r="R820" s="137">
        <v>25.32</v>
      </c>
      <c r="S820" t="s">
        <v>433</v>
      </c>
      <c r="T820">
        <f t="shared" si="48"/>
        <v>719088</v>
      </c>
      <c r="U820">
        <f t="shared" si="49"/>
        <v>4200</v>
      </c>
      <c r="V820">
        <f t="shared" si="50"/>
        <v>825432</v>
      </c>
      <c r="W820">
        <f t="shared" si="51"/>
        <v>106344</v>
      </c>
    </row>
    <row r="821" spans="1:23" x14ac:dyDescent="0.25">
      <c r="A821" s="204">
        <v>7203454549</v>
      </c>
      <c r="B821" s="204">
        <v>7203226574</v>
      </c>
      <c r="C821" s="139" t="s">
        <v>0</v>
      </c>
      <c r="D821" s="5">
        <v>6234000600</v>
      </c>
      <c r="E821" s="156">
        <v>44586</v>
      </c>
      <c r="F821" s="155">
        <v>26100</v>
      </c>
      <c r="G821" s="5" t="s">
        <v>421</v>
      </c>
      <c r="H821" s="204">
        <v>5503182532</v>
      </c>
      <c r="I821" s="142">
        <v>2300</v>
      </c>
      <c r="J821" s="138">
        <v>25.74</v>
      </c>
      <c r="K821" s="3" t="s">
        <v>97</v>
      </c>
      <c r="L821" s="3" t="s">
        <v>229</v>
      </c>
      <c r="M821" s="6"/>
      <c r="N821" s="6"/>
      <c r="O821" s="138">
        <v>32600</v>
      </c>
      <c r="P821" s="17" t="s">
        <v>357</v>
      </c>
      <c r="Q821" s="136">
        <v>25.74</v>
      </c>
      <c r="R821" s="137">
        <v>25.74</v>
      </c>
      <c r="S821" t="s">
        <v>433</v>
      </c>
      <c r="T821">
        <f t="shared" si="48"/>
        <v>731016</v>
      </c>
      <c r="U821">
        <f t="shared" si="49"/>
        <v>4200</v>
      </c>
      <c r="V821">
        <f t="shared" si="50"/>
        <v>839124</v>
      </c>
      <c r="W821">
        <f t="shared" si="51"/>
        <v>108108</v>
      </c>
    </row>
    <row r="822" spans="1:23" x14ac:dyDescent="0.25">
      <c r="A822" s="204">
        <v>7203454549</v>
      </c>
      <c r="B822" s="204">
        <v>7203226574</v>
      </c>
      <c r="C822" s="139" t="s">
        <v>0</v>
      </c>
      <c r="D822" s="5">
        <v>6234000600</v>
      </c>
      <c r="E822" s="156">
        <v>44586</v>
      </c>
      <c r="F822" s="155">
        <v>26700</v>
      </c>
      <c r="G822" s="5" t="s">
        <v>421</v>
      </c>
      <c r="H822" s="204">
        <v>5501132737</v>
      </c>
      <c r="I822" s="142">
        <v>1600</v>
      </c>
      <c r="J822" s="138">
        <v>26.3</v>
      </c>
      <c r="K822" s="3" t="s">
        <v>187</v>
      </c>
      <c r="L822" s="3" t="s">
        <v>232</v>
      </c>
      <c r="M822" s="6"/>
      <c r="N822" s="6"/>
      <c r="O822" s="138">
        <v>32600</v>
      </c>
      <c r="P822" s="17" t="s">
        <v>357</v>
      </c>
      <c r="Q822" s="136">
        <v>26.3</v>
      </c>
      <c r="R822" s="137">
        <v>26.3</v>
      </c>
      <c r="S822" t="s">
        <v>433</v>
      </c>
      <c r="T822">
        <f t="shared" si="48"/>
        <v>744290</v>
      </c>
      <c r="U822">
        <f t="shared" si="49"/>
        <v>4300</v>
      </c>
      <c r="V822">
        <f t="shared" si="50"/>
        <v>857380</v>
      </c>
      <c r="W822">
        <f t="shared" si="51"/>
        <v>113090</v>
      </c>
    </row>
    <row r="823" spans="1:23" x14ac:dyDescent="0.25">
      <c r="A823" s="204">
        <v>7203454549</v>
      </c>
      <c r="B823" s="204">
        <v>7203226574</v>
      </c>
      <c r="C823" s="139" t="s">
        <v>0</v>
      </c>
      <c r="D823" s="5">
        <v>6234000600</v>
      </c>
      <c r="E823" s="156">
        <v>44586</v>
      </c>
      <c r="F823" s="155">
        <v>26700</v>
      </c>
      <c r="G823" s="5" t="s">
        <v>421</v>
      </c>
      <c r="H823" s="204">
        <v>5501132737</v>
      </c>
      <c r="I823" s="142">
        <v>1600</v>
      </c>
      <c r="J823" s="138">
        <v>26.66</v>
      </c>
      <c r="K823" s="3" t="s">
        <v>186</v>
      </c>
      <c r="L823" s="3" t="s">
        <v>231</v>
      </c>
      <c r="M823" s="6"/>
      <c r="N823" s="6"/>
      <c r="O823" s="138">
        <v>32600</v>
      </c>
      <c r="P823" s="17" t="s">
        <v>357</v>
      </c>
      <c r="Q823" s="136">
        <v>26.66</v>
      </c>
      <c r="R823" s="137">
        <v>26.66</v>
      </c>
      <c r="S823" t="s">
        <v>433</v>
      </c>
      <c r="T823">
        <f t="shared" si="48"/>
        <v>754478</v>
      </c>
      <c r="U823">
        <f t="shared" si="49"/>
        <v>4300</v>
      </c>
      <c r="V823">
        <f t="shared" si="50"/>
        <v>869116</v>
      </c>
      <c r="W823">
        <f t="shared" si="51"/>
        <v>114638</v>
      </c>
    </row>
    <row r="824" spans="1:23" x14ac:dyDescent="0.25">
      <c r="A824" s="204">
        <v>7203454549</v>
      </c>
      <c r="B824" s="204">
        <v>7203226574</v>
      </c>
      <c r="C824" s="139" t="s">
        <v>0</v>
      </c>
      <c r="D824" s="5">
        <v>6234000600</v>
      </c>
      <c r="E824" s="156">
        <v>44587</v>
      </c>
      <c r="F824" s="155">
        <v>26100</v>
      </c>
      <c r="G824" s="5" t="s">
        <v>421</v>
      </c>
      <c r="H824" s="204">
        <v>5501132737</v>
      </c>
      <c r="I824" s="142">
        <v>2600</v>
      </c>
      <c r="J824" s="138">
        <v>26.44</v>
      </c>
      <c r="K824" s="3" t="s">
        <v>108</v>
      </c>
      <c r="L824" s="3" t="s">
        <v>219</v>
      </c>
      <c r="M824" s="6"/>
      <c r="N824" s="6"/>
      <c r="O824" s="138">
        <v>32600</v>
      </c>
      <c r="P824" s="17" t="s">
        <v>357</v>
      </c>
      <c r="Q824" s="136">
        <v>26.44</v>
      </c>
      <c r="R824" s="137">
        <v>26.44</v>
      </c>
      <c r="S824" t="s">
        <v>433</v>
      </c>
      <c r="T824">
        <f t="shared" si="48"/>
        <v>758828</v>
      </c>
      <c r="U824">
        <f t="shared" si="49"/>
        <v>3900</v>
      </c>
      <c r="V824">
        <f t="shared" si="50"/>
        <v>861944</v>
      </c>
      <c r="W824">
        <f t="shared" si="51"/>
        <v>103116</v>
      </c>
    </row>
    <row r="825" spans="1:23" x14ac:dyDescent="0.25">
      <c r="A825" s="204">
        <v>7203454549</v>
      </c>
      <c r="B825" s="204">
        <v>7203226574</v>
      </c>
      <c r="C825" s="139" t="s">
        <v>0</v>
      </c>
      <c r="D825" s="5">
        <v>6234000600</v>
      </c>
      <c r="E825" s="156">
        <v>44587</v>
      </c>
      <c r="F825" s="155">
        <v>26100</v>
      </c>
      <c r="G825" s="5" t="s">
        <v>421</v>
      </c>
      <c r="H825" s="204">
        <v>5501132737</v>
      </c>
      <c r="I825" s="142">
        <v>2600</v>
      </c>
      <c r="J825" s="138">
        <v>26.16</v>
      </c>
      <c r="K825" s="3" t="s">
        <v>91</v>
      </c>
      <c r="L825" s="3" t="s">
        <v>362</v>
      </c>
      <c r="M825" s="6"/>
      <c r="N825" s="6"/>
      <c r="O825" s="138">
        <v>32600</v>
      </c>
      <c r="P825" s="17" t="s">
        <v>357</v>
      </c>
      <c r="Q825" s="136">
        <v>26.16</v>
      </c>
      <c r="R825" s="137">
        <v>26.16</v>
      </c>
      <c r="S825" t="s">
        <v>433</v>
      </c>
      <c r="T825">
        <f t="shared" si="48"/>
        <v>750792</v>
      </c>
      <c r="U825">
        <f t="shared" si="49"/>
        <v>3900</v>
      </c>
      <c r="V825">
        <f t="shared" si="50"/>
        <v>852816</v>
      </c>
      <c r="W825">
        <f t="shared" si="51"/>
        <v>102024</v>
      </c>
    </row>
    <row r="826" spans="1:23" x14ac:dyDescent="0.25">
      <c r="A826" s="204">
        <v>7203454549</v>
      </c>
      <c r="B826" s="204">
        <v>7203226574</v>
      </c>
      <c r="C826" s="139" t="s">
        <v>0</v>
      </c>
      <c r="D826" s="5">
        <v>6234000600</v>
      </c>
      <c r="E826" s="156">
        <v>44587</v>
      </c>
      <c r="F826" s="155">
        <v>26700</v>
      </c>
      <c r="G826" s="5" t="s">
        <v>421</v>
      </c>
      <c r="H826" s="204">
        <v>5501132737</v>
      </c>
      <c r="I826" s="142">
        <v>1600</v>
      </c>
      <c r="J826" s="138">
        <v>26.28</v>
      </c>
      <c r="K826" s="3" t="s">
        <v>6</v>
      </c>
      <c r="L826" s="3" t="s">
        <v>23</v>
      </c>
      <c r="M826" s="6"/>
      <c r="N826" s="6"/>
      <c r="O826" s="138">
        <v>32600</v>
      </c>
      <c r="P826" s="17" t="s">
        <v>357</v>
      </c>
      <c r="Q826" s="136">
        <v>26.28</v>
      </c>
      <c r="R826" s="137">
        <v>26.28</v>
      </c>
      <c r="S826" t="s">
        <v>433</v>
      </c>
      <c r="T826">
        <f t="shared" si="48"/>
        <v>743724</v>
      </c>
      <c r="U826">
        <f t="shared" si="49"/>
        <v>4300</v>
      </c>
      <c r="V826">
        <f t="shared" si="50"/>
        <v>856728</v>
      </c>
      <c r="W826">
        <f t="shared" si="51"/>
        <v>113004</v>
      </c>
    </row>
    <row r="827" spans="1:23" x14ac:dyDescent="0.25">
      <c r="A827" s="204">
        <v>7203454549</v>
      </c>
      <c r="B827" s="204">
        <v>7203226574</v>
      </c>
      <c r="C827" s="139" t="s">
        <v>0</v>
      </c>
      <c r="D827" s="5">
        <v>6234000600</v>
      </c>
      <c r="E827" s="156">
        <v>44587</v>
      </c>
      <c r="F827" s="155">
        <v>26700</v>
      </c>
      <c r="G827" s="5" t="s">
        <v>421</v>
      </c>
      <c r="H827" s="204">
        <v>5501132737</v>
      </c>
      <c r="I827" s="142">
        <v>1600</v>
      </c>
      <c r="J827" s="138">
        <v>25.72</v>
      </c>
      <c r="K827" s="3" t="s">
        <v>17</v>
      </c>
      <c r="L827" s="3" t="s">
        <v>36</v>
      </c>
      <c r="M827" s="6"/>
      <c r="N827" s="6"/>
      <c r="O827" s="138">
        <v>32600</v>
      </c>
      <c r="P827" s="17" t="s">
        <v>357</v>
      </c>
      <c r="Q827" s="136">
        <v>25.72</v>
      </c>
      <c r="R827" s="137">
        <v>25.72</v>
      </c>
      <c r="S827" t="s">
        <v>433</v>
      </c>
      <c r="T827">
        <f t="shared" si="48"/>
        <v>727876</v>
      </c>
      <c r="U827">
        <f t="shared" si="49"/>
        <v>4300</v>
      </c>
      <c r="V827">
        <f t="shared" si="50"/>
        <v>838472</v>
      </c>
      <c r="W827">
        <f t="shared" si="51"/>
        <v>110596</v>
      </c>
    </row>
    <row r="828" spans="1:23" x14ac:dyDescent="0.25">
      <c r="A828" s="204">
        <v>7203454549</v>
      </c>
      <c r="B828" s="204">
        <v>7203226574</v>
      </c>
      <c r="C828" s="139" t="s">
        <v>0</v>
      </c>
      <c r="D828" s="5">
        <v>6234000600</v>
      </c>
      <c r="E828" s="156">
        <v>44587</v>
      </c>
      <c r="F828" s="155">
        <v>26700</v>
      </c>
      <c r="G828" s="5" t="s">
        <v>421</v>
      </c>
      <c r="H828" s="204">
        <v>5501132737</v>
      </c>
      <c r="I828" s="142">
        <v>1600</v>
      </c>
      <c r="J828" s="138">
        <v>26.52</v>
      </c>
      <c r="K828" s="3" t="s">
        <v>114</v>
      </c>
      <c r="L828" s="3" t="s">
        <v>130</v>
      </c>
      <c r="M828" s="6"/>
      <c r="N828" s="6"/>
      <c r="O828" s="138">
        <v>32600</v>
      </c>
      <c r="P828" s="17" t="s">
        <v>357</v>
      </c>
      <c r="Q828" s="136">
        <v>26.52</v>
      </c>
      <c r="R828" s="137">
        <v>26.52</v>
      </c>
      <c r="S828" t="s">
        <v>433</v>
      </c>
      <c r="T828">
        <f t="shared" si="48"/>
        <v>750516</v>
      </c>
      <c r="U828">
        <f t="shared" si="49"/>
        <v>4300</v>
      </c>
      <c r="V828">
        <f t="shared" si="50"/>
        <v>864552</v>
      </c>
      <c r="W828">
        <f t="shared" si="51"/>
        <v>114036</v>
      </c>
    </row>
    <row r="829" spans="1:23" x14ac:dyDescent="0.25">
      <c r="A829" s="204">
        <v>7203454549</v>
      </c>
      <c r="B829" s="204">
        <v>7203226574</v>
      </c>
      <c r="C829" s="139" t="s">
        <v>0</v>
      </c>
      <c r="D829" s="5">
        <v>6234000600</v>
      </c>
      <c r="E829" s="156">
        <v>44588</v>
      </c>
      <c r="F829" s="155">
        <v>26700</v>
      </c>
      <c r="G829" s="5" t="s">
        <v>421</v>
      </c>
      <c r="H829" s="204">
        <v>5503182532</v>
      </c>
      <c r="I829" s="142">
        <v>1500</v>
      </c>
      <c r="J829" s="138">
        <v>25.9</v>
      </c>
      <c r="K829" s="3" t="s">
        <v>2</v>
      </c>
      <c r="L829" s="3" t="s">
        <v>19</v>
      </c>
      <c r="M829" s="6"/>
      <c r="N829" s="6"/>
      <c r="O829" s="138">
        <v>32600</v>
      </c>
      <c r="P829" s="17" t="s">
        <v>357</v>
      </c>
      <c r="Q829" s="136">
        <v>25.9</v>
      </c>
      <c r="R829" s="137">
        <v>25.9</v>
      </c>
      <c r="S829" t="s">
        <v>433</v>
      </c>
      <c r="T829">
        <f t="shared" si="48"/>
        <v>730380</v>
      </c>
      <c r="U829">
        <f t="shared" si="49"/>
        <v>4400</v>
      </c>
      <c r="V829">
        <f t="shared" si="50"/>
        <v>844340</v>
      </c>
      <c r="W829">
        <f t="shared" si="51"/>
        <v>113960</v>
      </c>
    </row>
    <row r="830" spans="1:23" x14ac:dyDescent="0.25">
      <c r="A830" s="204">
        <v>7203454549</v>
      </c>
      <c r="B830" s="204">
        <v>7203226574</v>
      </c>
      <c r="C830" s="139" t="s">
        <v>0</v>
      </c>
      <c r="D830" s="5">
        <v>6234000600</v>
      </c>
      <c r="E830" s="156">
        <v>44588</v>
      </c>
      <c r="F830" s="155">
        <v>26700</v>
      </c>
      <c r="G830" s="5" t="s">
        <v>421</v>
      </c>
      <c r="H830" s="204">
        <v>5503182532</v>
      </c>
      <c r="I830" s="142">
        <v>1500</v>
      </c>
      <c r="J830" s="138">
        <v>25.02</v>
      </c>
      <c r="K830" s="3" t="s">
        <v>97</v>
      </c>
      <c r="L830" s="3" t="s">
        <v>229</v>
      </c>
      <c r="M830" s="6"/>
      <c r="N830" s="6"/>
      <c r="O830" s="138">
        <v>32600</v>
      </c>
      <c r="P830" s="17" t="s">
        <v>357</v>
      </c>
      <c r="Q830" s="136">
        <v>25.02</v>
      </c>
      <c r="R830" s="137">
        <v>25.02</v>
      </c>
      <c r="S830" t="s">
        <v>433</v>
      </c>
      <c r="T830">
        <f t="shared" si="48"/>
        <v>705564</v>
      </c>
      <c r="U830">
        <f t="shared" si="49"/>
        <v>4400</v>
      </c>
      <c r="V830">
        <f t="shared" si="50"/>
        <v>815652</v>
      </c>
      <c r="W830">
        <f t="shared" si="51"/>
        <v>110088</v>
      </c>
    </row>
    <row r="831" spans="1:23" x14ac:dyDescent="0.25">
      <c r="A831" s="204">
        <v>7203454549</v>
      </c>
      <c r="B831" s="204">
        <v>7203226574</v>
      </c>
      <c r="C831" s="139" t="s">
        <v>0</v>
      </c>
      <c r="D831" s="5">
        <v>6234000600</v>
      </c>
      <c r="E831" s="156">
        <v>44588</v>
      </c>
      <c r="F831" s="155">
        <v>26700</v>
      </c>
      <c r="G831" s="5" t="s">
        <v>421</v>
      </c>
      <c r="H831" s="204">
        <v>5501132737</v>
      </c>
      <c r="I831" s="142">
        <v>1200</v>
      </c>
      <c r="J831" s="138">
        <v>26.36</v>
      </c>
      <c r="K831" s="3" t="s">
        <v>113</v>
      </c>
      <c r="L831" s="3" t="s">
        <v>129</v>
      </c>
      <c r="M831" s="6"/>
      <c r="N831" s="6"/>
      <c r="O831" s="138">
        <v>32600</v>
      </c>
      <c r="P831" s="17" t="s">
        <v>357</v>
      </c>
      <c r="Q831" s="136">
        <v>26.36</v>
      </c>
      <c r="R831" s="137">
        <v>26.36</v>
      </c>
      <c r="S831" t="s">
        <v>433</v>
      </c>
      <c r="T831">
        <f t="shared" si="48"/>
        <v>735444</v>
      </c>
      <c r="U831">
        <f t="shared" si="49"/>
        <v>4700</v>
      </c>
      <c r="V831">
        <f t="shared" si="50"/>
        <v>859336</v>
      </c>
      <c r="W831">
        <f t="shared" si="51"/>
        <v>123892</v>
      </c>
    </row>
    <row r="832" spans="1:23" x14ac:dyDescent="0.25">
      <c r="A832" s="204">
        <v>7203454549</v>
      </c>
      <c r="B832" s="204">
        <v>7203226574</v>
      </c>
      <c r="C832" s="139" t="s">
        <v>0</v>
      </c>
      <c r="D832" s="5">
        <v>6234000600</v>
      </c>
      <c r="E832" s="156">
        <v>44588</v>
      </c>
      <c r="F832" s="155">
        <v>26100</v>
      </c>
      <c r="G832" s="5" t="s">
        <v>421</v>
      </c>
      <c r="H832" s="204">
        <v>5501132737</v>
      </c>
      <c r="I832" s="142">
        <v>2600</v>
      </c>
      <c r="J832" s="138">
        <v>23.94</v>
      </c>
      <c r="K832" s="3" t="s">
        <v>182</v>
      </c>
      <c r="L832" s="3" t="s">
        <v>226</v>
      </c>
      <c r="M832" s="6"/>
      <c r="N832" s="6"/>
      <c r="O832" s="138">
        <v>32600</v>
      </c>
      <c r="P832" s="17" t="s">
        <v>357</v>
      </c>
      <c r="Q832" s="136">
        <v>23.94</v>
      </c>
      <c r="R832" s="137">
        <v>23.94</v>
      </c>
      <c r="S832" t="s">
        <v>433</v>
      </c>
      <c r="T832">
        <f t="shared" si="48"/>
        <v>687078</v>
      </c>
      <c r="U832">
        <f t="shared" si="49"/>
        <v>3900</v>
      </c>
      <c r="V832">
        <f t="shared" si="50"/>
        <v>780444</v>
      </c>
      <c r="W832">
        <f t="shared" si="51"/>
        <v>93366</v>
      </c>
    </row>
    <row r="833" spans="1:23" x14ac:dyDescent="0.25">
      <c r="A833" s="204">
        <v>7203454549</v>
      </c>
      <c r="B833" s="204">
        <v>7203226574</v>
      </c>
      <c r="C833" s="139" t="s">
        <v>0</v>
      </c>
      <c r="D833" s="5">
        <v>6234000600</v>
      </c>
      <c r="E833" s="156">
        <v>44588</v>
      </c>
      <c r="F833" s="155">
        <v>26100</v>
      </c>
      <c r="G833" s="5" t="s">
        <v>421</v>
      </c>
      <c r="H833" s="204">
        <v>5501208190</v>
      </c>
      <c r="I833" s="142">
        <v>2400</v>
      </c>
      <c r="J833" s="138">
        <v>26.56</v>
      </c>
      <c r="K833" s="3" t="s">
        <v>5</v>
      </c>
      <c r="L833" s="3" t="s">
        <v>22</v>
      </c>
      <c r="M833" s="6"/>
      <c r="N833" s="6"/>
      <c r="O833" s="138">
        <v>32600</v>
      </c>
      <c r="P833" s="17" t="s">
        <v>357</v>
      </c>
      <c r="Q833" s="136">
        <v>26.56</v>
      </c>
      <c r="R833" s="137">
        <v>26.56</v>
      </c>
      <c r="S833" t="s">
        <v>433</v>
      </c>
      <c r="T833">
        <f t="shared" si="48"/>
        <v>756960</v>
      </c>
      <c r="U833">
        <f t="shared" si="49"/>
        <v>4100</v>
      </c>
      <c r="V833">
        <f t="shared" si="50"/>
        <v>865856</v>
      </c>
      <c r="W833">
        <f t="shared" si="51"/>
        <v>108896</v>
      </c>
    </row>
    <row r="834" spans="1:23" x14ac:dyDescent="0.25">
      <c r="A834" s="204">
        <v>7203454549</v>
      </c>
      <c r="B834" s="204">
        <v>7203226574</v>
      </c>
      <c r="C834" s="139" t="s">
        <v>0</v>
      </c>
      <c r="D834" s="5">
        <v>6234000600</v>
      </c>
      <c r="E834" s="156">
        <v>44588</v>
      </c>
      <c r="F834" s="155">
        <v>26100</v>
      </c>
      <c r="G834" s="5" t="s">
        <v>421</v>
      </c>
      <c r="H834" s="204">
        <v>5501208190</v>
      </c>
      <c r="I834" s="142">
        <v>2400</v>
      </c>
      <c r="J834" s="138">
        <v>26.72</v>
      </c>
      <c r="K834" s="3" t="s">
        <v>101</v>
      </c>
      <c r="L834" s="3" t="s">
        <v>119</v>
      </c>
      <c r="M834" s="6"/>
      <c r="N834" s="6"/>
      <c r="O834" s="138">
        <v>32600</v>
      </c>
      <c r="P834" s="17" t="s">
        <v>357</v>
      </c>
      <c r="Q834" s="136">
        <v>26.72</v>
      </c>
      <c r="R834" s="137">
        <v>26.72</v>
      </c>
      <c r="S834" t="s">
        <v>433</v>
      </c>
      <c r="T834">
        <f t="shared" si="48"/>
        <v>761520</v>
      </c>
      <c r="U834">
        <f t="shared" si="49"/>
        <v>4100</v>
      </c>
      <c r="V834">
        <f t="shared" si="50"/>
        <v>871072</v>
      </c>
      <c r="W834">
        <f t="shared" si="51"/>
        <v>109552</v>
      </c>
    </row>
    <row r="835" spans="1:23" x14ac:dyDescent="0.25">
      <c r="A835" s="204">
        <v>7203454549</v>
      </c>
      <c r="B835" s="204">
        <v>7203226574</v>
      </c>
      <c r="C835" s="139" t="s">
        <v>0</v>
      </c>
      <c r="D835" s="5">
        <v>6234000600</v>
      </c>
      <c r="E835" s="156">
        <v>44589</v>
      </c>
      <c r="F835" s="155">
        <v>26100</v>
      </c>
      <c r="G835" s="5" t="s">
        <v>421</v>
      </c>
      <c r="H835" s="204">
        <v>5501208190</v>
      </c>
      <c r="I835" s="142">
        <v>2400</v>
      </c>
      <c r="J835" s="138">
        <v>26.08</v>
      </c>
      <c r="K835" s="3" t="s">
        <v>3</v>
      </c>
      <c r="L835" s="3" t="s">
        <v>20</v>
      </c>
      <c r="M835" s="6"/>
      <c r="N835" s="6"/>
      <c r="O835" s="138">
        <v>32600</v>
      </c>
      <c r="P835" s="17" t="s">
        <v>357</v>
      </c>
      <c r="Q835" s="136">
        <v>26.08</v>
      </c>
      <c r="R835" s="137">
        <v>26.08</v>
      </c>
      <c r="S835" t="s">
        <v>433</v>
      </c>
      <c r="T835">
        <f t="shared" ref="T835:T898" si="52">(I835+F835)*J835</f>
        <v>743280</v>
      </c>
      <c r="U835">
        <f t="shared" ref="U835:U898" si="53">O835-(F835+I835)</f>
        <v>4100</v>
      </c>
      <c r="V835">
        <f t="shared" ref="V835:V898" si="54">O835*J835</f>
        <v>850208</v>
      </c>
      <c r="W835">
        <f t="shared" ref="W835:W898" si="55">V835-T835</f>
        <v>106928</v>
      </c>
    </row>
    <row r="836" spans="1:23" x14ac:dyDescent="0.25">
      <c r="A836" s="204">
        <v>7203454549</v>
      </c>
      <c r="B836" s="204">
        <v>7203226574</v>
      </c>
      <c r="C836" s="139" t="s">
        <v>0</v>
      </c>
      <c r="D836" s="5">
        <v>6234000600</v>
      </c>
      <c r="E836" s="156">
        <v>44589</v>
      </c>
      <c r="F836" s="155">
        <v>26100</v>
      </c>
      <c r="G836" s="5" t="s">
        <v>421</v>
      </c>
      <c r="H836" s="204">
        <v>5501132737</v>
      </c>
      <c r="I836" s="142">
        <v>2600</v>
      </c>
      <c r="J836" s="138">
        <v>24.24</v>
      </c>
      <c r="K836" s="3" t="s">
        <v>353</v>
      </c>
      <c r="L836" s="3" t="s">
        <v>363</v>
      </c>
      <c r="M836" s="6"/>
      <c r="N836" s="6"/>
      <c r="O836" s="138">
        <v>32600</v>
      </c>
      <c r="P836" s="17" t="s">
        <v>357</v>
      </c>
      <c r="Q836" s="136">
        <v>24.24</v>
      </c>
      <c r="R836" s="137">
        <v>24.24</v>
      </c>
      <c r="S836" t="s">
        <v>433</v>
      </c>
      <c r="T836">
        <f t="shared" si="52"/>
        <v>695688</v>
      </c>
      <c r="U836">
        <f t="shared" si="53"/>
        <v>3900</v>
      </c>
      <c r="V836">
        <f t="shared" si="54"/>
        <v>790224</v>
      </c>
      <c r="W836">
        <f t="shared" si="55"/>
        <v>94536</v>
      </c>
    </row>
    <row r="837" spans="1:23" x14ac:dyDescent="0.25">
      <c r="A837" s="204">
        <v>7203454549</v>
      </c>
      <c r="B837" s="204">
        <v>7203226574</v>
      </c>
      <c r="C837" s="139" t="s">
        <v>0</v>
      </c>
      <c r="D837" s="5">
        <v>6234000600</v>
      </c>
      <c r="E837" s="156">
        <v>44589</v>
      </c>
      <c r="F837" s="155">
        <v>26100</v>
      </c>
      <c r="G837" s="5" t="s">
        <v>421</v>
      </c>
      <c r="H837" s="204">
        <v>5501132737</v>
      </c>
      <c r="I837" s="142">
        <v>2600</v>
      </c>
      <c r="J837" s="138">
        <v>26.28</v>
      </c>
      <c r="K837" s="3" t="s">
        <v>181</v>
      </c>
      <c r="L837" s="3" t="s">
        <v>225</v>
      </c>
      <c r="M837" s="6"/>
      <c r="N837" s="6"/>
      <c r="O837" s="138">
        <v>32600</v>
      </c>
      <c r="P837" s="17" t="s">
        <v>357</v>
      </c>
      <c r="Q837" s="136">
        <v>26.28</v>
      </c>
      <c r="R837" s="137">
        <v>26.28</v>
      </c>
      <c r="S837" t="s">
        <v>433</v>
      </c>
      <c r="T837">
        <f t="shared" si="52"/>
        <v>754236</v>
      </c>
      <c r="U837">
        <f t="shared" si="53"/>
        <v>3900</v>
      </c>
      <c r="V837">
        <f t="shared" si="54"/>
        <v>856728</v>
      </c>
      <c r="W837">
        <f t="shared" si="55"/>
        <v>102492</v>
      </c>
    </row>
    <row r="838" spans="1:23" x14ac:dyDescent="0.25">
      <c r="A838" s="204">
        <v>7203454549</v>
      </c>
      <c r="B838" s="204">
        <v>7203226574</v>
      </c>
      <c r="C838" s="139" t="s">
        <v>0</v>
      </c>
      <c r="D838" s="5">
        <v>6234000600</v>
      </c>
      <c r="E838" s="156">
        <v>44589</v>
      </c>
      <c r="F838" s="155">
        <v>26700</v>
      </c>
      <c r="G838" s="5" t="s">
        <v>421</v>
      </c>
      <c r="H838" s="204">
        <v>5501132737</v>
      </c>
      <c r="I838" s="142">
        <v>1200</v>
      </c>
      <c r="J838" s="138">
        <v>25.32</v>
      </c>
      <c r="K838" s="3" t="s">
        <v>354</v>
      </c>
      <c r="L838" s="3" t="s">
        <v>364</v>
      </c>
      <c r="M838" s="6"/>
      <c r="N838" s="6"/>
      <c r="O838" s="138">
        <v>32600</v>
      </c>
      <c r="P838" s="17" t="s">
        <v>357</v>
      </c>
      <c r="Q838" s="136">
        <v>25.32</v>
      </c>
      <c r="R838" s="137">
        <v>25.32</v>
      </c>
      <c r="S838" t="s">
        <v>433</v>
      </c>
      <c r="T838">
        <f t="shared" si="52"/>
        <v>706428</v>
      </c>
      <c r="U838">
        <f t="shared" si="53"/>
        <v>4700</v>
      </c>
      <c r="V838">
        <f t="shared" si="54"/>
        <v>825432</v>
      </c>
      <c r="W838">
        <f t="shared" si="55"/>
        <v>119004</v>
      </c>
    </row>
    <row r="839" spans="1:23" x14ac:dyDescent="0.25">
      <c r="A839" s="204">
        <v>7203454549</v>
      </c>
      <c r="B839" s="204">
        <v>7203226574</v>
      </c>
      <c r="C839" s="139" t="s">
        <v>0</v>
      </c>
      <c r="D839" s="5">
        <v>6234000600</v>
      </c>
      <c r="E839" s="156">
        <v>44589</v>
      </c>
      <c r="F839" s="155">
        <v>26700</v>
      </c>
      <c r="G839" s="5" t="s">
        <v>421</v>
      </c>
      <c r="H839" s="204">
        <v>5501132737</v>
      </c>
      <c r="I839" s="142">
        <v>1600</v>
      </c>
      <c r="J839" s="138">
        <v>26.52</v>
      </c>
      <c r="K839" s="3" t="s">
        <v>114</v>
      </c>
      <c r="L839" s="3" t="s">
        <v>130</v>
      </c>
      <c r="M839" s="6"/>
      <c r="N839" s="6"/>
      <c r="O839" s="138">
        <v>32600</v>
      </c>
      <c r="P839" s="17" t="s">
        <v>357</v>
      </c>
      <c r="Q839" s="136">
        <v>26.52</v>
      </c>
      <c r="R839" s="137">
        <v>26.52</v>
      </c>
      <c r="S839" t="s">
        <v>433</v>
      </c>
      <c r="T839">
        <f t="shared" si="52"/>
        <v>750516</v>
      </c>
      <c r="U839">
        <f t="shared" si="53"/>
        <v>4300</v>
      </c>
      <c r="V839">
        <f t="shared" si="54"/>
        <v>864552</v>
      </c>
      <c r="W839">
        <f t="shared" si="55"/>
        <v>114036</v>
      </c>
    </row>
    <row r="840" spans="1:23" x14ac:dyDescent="0.25">
      <c r="A840" s="204">
        <v>7203454549</v>
      </c>
      <c r="B840" s="204">
        <v>7203226574</v>
      </c>
      <c r="C840" s="139" t="s">
        <v>0</v>
      </c>
      <c r="D840" s="5">
        <v>6234000600</v>
      </c>
      <c r="E840" s="156">
        <v>44589</v>
      </c>
      <c r="F840" s="155">
        <v>26700</v>
      </c>
      <c r="G840" s="5" t="s">
        <v>421</v>
      </c>
      <c r="H840" s="204">
        <v>5501132737</v>
      </c>
      <c r="I840" s="142">
        <v>1600</v>
      </c>
      <c r="J840" s="138">
        <v>26.44</v>
      </c>
      <c r="K840" s="3" t="s">
        <v>6</v>
      </c>
      <c r="L840" s="3" t="s">
        <v>23</v>
      </c>
      <c r="M840" s="6"/>
      <c r="N840" s="6"/>
      <c r="O840" s="138">
        <v>32600</v>
      </c>
      <c r="P840" s="17" t="s">
        <v>357</v>
      </c>
      <c r="Q840" s="136">
        <v>26.44</v>
      </c>
      <c r="R840" s="137">
        <v>26.44</v>
      </c>
      <c r="S840" t="s">
        <v>433</v>
      </c>
      <c r="T840">
        <f t="shared" si="52"/>
        <v>748252</v>
      </c>
      <c r="U840">
        <f t="shared" si="53"/>
        <v>4300</v>
      </c>
      <c r="V840">
        <f t="shared" si="54"/>
        <v>861944</v>
      </c>
      <c r="W840">
        <f t="shared" si="55"/>
        <v>113692</v>
      </c>
    </row>
    <row r="841" spans="1:23" x14ac:dyDescent="0.25">
      <c r="A841" s="204">
        <v>7203454549</v>
      </c>
      <c r="B841" s="204">
        <v>7203226574</v>
      </c>
      <c r="C841" s="139" t="s">
        <v>0</v>
      </c>
      <c r="D841" s="5">
        <v>6234000600</v>
      </c>
      <c r="E841" s="156">
        <v>44589</v>
      </c>
      <c r="F841" s="155">
        <v>26700</v>
      </c>
      <c r="G841" s="5" t="s">
        <v>421</v>
      </c>
      <c r="H841" s="204">
        <v>5503182532</v>
      </c>
      <c r="I841" s="142">
        <v>1500</v>
      </c>
      <c r="J841" s="138">
        <v>26.1</v>
      </c>
      <c r="K841" s="3" t="s">
        <v>2</v>
      </c>
      <c r="L841" s="3" t="s">
        <v>19</v>
      </c>
      <c r="M841" s="6"/>
      <c r="N841" s="6"/>
      <c r="O841" s="138">
        <v>32600</v>
      </c>
      <c r="P841" s="17" t="s">
        <v>357</v>
      </c>
      <c r="Q841" s="136">
        <v>26.1</v>
      </c>
      <c r="R841" s="137">
        <v>26.1</v>
      </c>
      <c r="S841" t="s">
        <v>433</v>
      </c>
      <c r="T841">
        <f t="shared" si="52"/>
        <v>736020</v>
      </c>
      <c r="U841">
        <f t="shared" si="53"/>
        <v>4400</v>
      </c>
      <c r="V841">
        <f t="shared" si="54"/>
        <v>850860</v>
      </c>
      <c r="W841">
        <f t="shared" si="55"/>
        <v>114840</v>
      </c>
    </row>
    <row r="842" spans="1:23" x14ac:dyDescent="0.25">
      <c r="A842" s="204">
        <v>7203454549</v>
      </c>
      <c r="B842" s="204">
        <v>7203226574</v>
      </c>
      <c r="C842" s="139" t="s">
        <v>0</v>
      </c>
      <c r="D842" s="5">
        <v>6234000600</v>
      </c>
      <c r="E842" s="156">
        <v>44590</v>
      </c>
      <c r="F842" s="155">
        <v>26700</v>
      </c>
      <c r="G842" s="5" t="s">
        <v>421</v>
      </c>
      <c r="H842" s="204">
        <v>5503182532</v>
      </c>
      <c r="I842" s="142">
        <v>1500</v>
      </c>
      <c r="J842" s="138">
        <v>25.8</v>
      </c>
      <c r="K842" s="3" t="s">
        <v>97</v>
      </c>
      <c r="L842" s="3" t="s">
        <v>229</v>
      </c>
      <c r="M842" s="6"/>
      <c r="N842" s="6"/>
      <c r="O842" s="138">
        <v>32600</v>
      </c>
      <c r="P842" s="17" t="s">
        <v>357</v>
      </c>
      <c r="Q842" s="136">
        <v>25.8</v>
      </c>
      <c r="R842" s="137">
        <v>25.8</v>
      </c>
      <c r="S842" t="s">
        <v>433</v>
      </c>
      <c r="T842">
        <f t="shared" si="52"/>
        <v>727560</v>
      </c>
      <c r="U842">
        <f t="shared" si="53"/>
        <v>4400</v>
      </c>
      <c r="V842">
        <f t="shared" si="54"/>
        <v>841080</v>
      </c>
      <c r="W842">
        <f t="shared" si="55"/>
        <v>113520</v>
      </c>
    </row>
    <row r="843" spans="1:23" x14ac:dyDescent="0.25">
      <c r="A843" s="204">
        <v>7203454549</v>
      </c>
      <c r="B843" s="204">
        <v>7203226574</v>
      </c>
      <c r="C843" s="139" t="s">
        <v>0</v>
      </c>
      <c r="D843" s="5">
        <v>6234000600</v>
      </c>
      <c r="E843" s="156">
        <v>44590</v>
      </c>
      <c r="F843" s="155">
        <v>26700</v>
      </c>
      <c r="G843" s="5" t="s">
        <v>421</v>
      </c>
      <c r="H843" s="204">
        <v>5501208190</v>
      </c>
      <c r="I843" s="142">
        <v>1500</v>
      </c>
      <c r="J843" s="138">
        <v>26.8</v>
      </c>
      <c r="K843" s="3" t="s">
        <v>5</v>
      </c>
      <c r="L843" s="3" t="s">
        <v>22</v>
      </c>
      <c r="M843" s="6"/>
      <c r="N843" s="6"/>
      <c r="O843" s="138">
        <v>32600</v>
      </c>
      <c r="P843" s="17" t="s">
        <v>357</v>
      </c>
      <c r="Q843" s="136">
        <v>26.8</v>
      </c>
      <c r="R843" s="137">
        <v>26.8</v>
      </c>
      <c r="S843" t="s">
        <v>433</v>
      </c>
      <c r="T843">
        <f t="shared" si="52"/>
        <v>755760</v>
      </c>
      <c r="U843">
        <f t="shared" si="53"/>
        <v>4400</v>
      </c>
      <c r="V843">
        <f t="shared" si="54"/>
        <v>873680</v>
      </c>
      <c r="W843">
        <f t="shared" si="55"/>
        <v>117920</v>
      </c>
    </row>
    <row r="844" spans="1:23" x14ac:dyDescent="0.25">
      <c r="A844" s="204">
        <v>7203454549</v>
      </c>
      <c r="B844" s="204">
        <v>7203226574</v>
      </c>
      <c r="C844" s="139" t="s">
        <v>0</v>
      </c>
      <c r="D844" s="5">
        <v>6234000600</v>
      </c>
      <c r="E844" s="156">
        <v>44590</v>
      </c>
      <c r="F844" s="155">
        <v>26700</v>
      </c>
      <c r="G844" s="5" t="s">
        <v>421</v>
      </c>
      <c r="H844" s="204">
        <v>5501208190</v>
      </c>
      <c r="I844" s="142">
        <v>1500</v>
      </c>
      <c r="J844" s="138">
        <v>26.78</v>
      </c>
      <c r="K844" s="3" t="s">
        <v>3</v>
      </c>
      <c r="L844" s="3" t="s">
        <v>20</v>
      </c>
      <c r="M844" s="6"/>
      <c r="N844" s="6"/>
      <c r="O844" s="138">
        <v>32600</v>
      </c>
      <c r="P844" s="17" t="s">
        <v>357</v>
      </c>
      <c r="Q844" s="136">
        <v>26.78</v>
      </c>
      <c r="R844" s="137">
        <v>26.78</v>
      </c>
      <c r="S844" t="s">
        <v>433</v>
      </c>
      <c r="T844">
        <f t="shared" si="52"/>
        <v>755196</v>
      </c>
      <c r="U844">
        <f t="shared" si="53"/>
        <v>4400</v>
      </c>
      <c r="V844">
        <f t="shared" si="54"/>
        <v>873028</v>
      </c>
      <c r="W844">
        <f t="shared" si="55"/>
        <v>117832</v>
      </c>
    </row>
    <row r="845" spans="1:23" x14ac:dyDescent="0.25">
      <c r="A845" s="204">
        <v>7203454549</v>
      </c>
      <c r="B845" s="204">
        <v>7203226574</v>
      </c>
      <c r="C845" s="139" t="s">
        <v>0</v>
      </c>
      <c r="D845" s="5">
        <v>6234000600</v>
      </c>
      <c r="E845" s="156">
        <v>44590</v>
      </c>
      <c r="F845" s="155">
        <v>26700</v>
      </c>
      <c r="G845" s="5" t="s">
        <v>421</v>
      </c>
      <c r="H845" s="204">
        <v>5501132737</v>
      </c>
      <c r="I845" s="142">
        <v>1600</v>
      </c>
      <c r="J845" s="138">
        <v>26.46</v>
      </c>
      <c r="K845" s="3" t="s">
        <v>6</v>
      </c>
      <c r="L845" s="3" t="s">
        <v>23</v>
      </c>
      <c r="M845" s="6"/>
      <c r="N845" s="6"/>
      <c r="O845" s="138">
        <v>32600</v>
      </c>
      <c r="P845" s="17" t="s">
        <v>357</v>
      </c>
      <c r="Q845" s="136">
        <v>26.46</v>
      </c>
      <c r="R845" s="137">
        <v>26.46</v>
      </c>
      <c r="S845" t="s">
        <v>433</v>
      </c>
      <c r="T845">
        <f t="shared" si="52"/>
        <v>748818</v>
      </c>
      <c r="U845">
        <f t="shared" si="53"/>
        <v>4300</v>
      </c>
      <c r="V845">
        <f t="shared" si="54"/>
        <v>862596</v>
      </c>
      <c r="W845">
        <f t="shared" si="55"/>
        <v>113778</v>
      </c>
    </row>
    <row r="846" spans="1:23" x14ac:dyDescent="0.25">
      <c r="A846" s="204">
        <v>7203454549</v>
      </c>
      <c r="B846" s="204">
        <v>7203226574</v>
      </c>
      <c r="C846" s="139" t="s">
        <v>0</v>
      </c>
      <c r="D846" s="5">
        <v>6234000600</v>
      </c>
      <c r="E846" s="156">
        <v>44590</v>
      </c>
      <c r="F846" s="155">
        <v>28435</v>
      </c>
      <c r="G846" s="5" t="s">
        <v>1</v>
      </c>
      <c r="H846" s="141"/>
      <c r="I846" s="142">
        <v>0</v>
      </c>
      <c r="J846" s="138">
        <v>23.96</v>
      </c>
      <c r="K846" s="3" t="s">
        <v>355</v>
      </c>
      <c r="L846" s="3" t="s">
        <v>365</v>
      </c>
      <c r="M846" s="6"/>
      <c r="N846" s="6"/>
      <c r="O846" s="138">
        <v>32600</v>
      </c>
      <c r="P846" s="17" t="s">
        <v>357</v>
      </c>
      <c r="Q846" s="136">
        <v>23.96</v>
      </c>
      <c r="R846" s="137">
        <v>23.96</v>
      </c>
      <c r="S846" t="s">
        <v>433</v>
      </c>
      <c r="T846">
        <f t="shared" si="52"/>
        <v>681302.6</v>
      </c>
      <c r="U846">
        <f t="shared" si="53"/>
        <v>4165</v>
      </c>
      <c r="V846">
        <f t="shared" si="54"/>
        <v>781096</v>
      </c>
      <c r="W846">
        <f t="shared" si="55"/>
        <v>99793.400000000023</v>
      </c>
    </row>
    <row r="847" spans="1:23" x14ac:dyDescent="0.25">
      <c r="A847" s="204">
        <v>7203454549</v>
      </c>
      <c r="B847" s="204">
        <v>7203226574</v>
      </c>
      <c r="C847" s="139" t="s">
        <v>0</v>
      </c>
      <c r="D847" s="5">
        <v>6234000600</v>
      </c>
      <c r="E847" s="156">
        <v>44590</v>
      </c>
      <c r="F847" s="155">
        <v>28435</v>
      </c>
      <c r="G847" s="5" t="s">
        <v>1</v>
      </c>
      <c r="H847" s="141"/>
      <c r="I847" s="142">
        <v>0</v>
      </c>
      <c r="J847" s="138">
        <v>26.98</v>
      </c>
      <c r="K847" s="3" t="s">
        <v>4</v>
      </c>
      <c r="L847" s="3" t="s">
        <v>21</v>
      </c>
      <c r="M847" s="6"/>
      <c r="N847" s="6"/>
      <c r="O847" s="138">
        <v>32600</v>
      </c>
      <c r="P847" s="17" t="s">
        <v>357</v>
      </c>
      <c r="Q847" s="136">
        <v>26.98</v>
      </c>
      <c r="R847" s="137">
        <v>26.98</v>
      </c>
      <c r="S847" t="s">
        <v>433</v>
      </c>
      <c r="T847">
        <f t="shared" si="52"/>
        <v>767176.3</v>
      </c>
      <c r="U847">
        <f t="shared" si="53"/>
        <v>4165</v>
      </c>
      <c r="V847">
        <f t="shared" si="54"/>
        <v>879548</v>
      </c>
      <c r="W847">
        <f t="shared" si="55"/>
        <v>112371.69999999995</v>
      </c>
    </row>
    <row r="848" spans="1:23" x14ac:dyDescent="0.25">
      <c r="A848" s="204">
        <v>7203454549</v>
      </c>
      <c r="B848" s="204">
        <v>7203226574</v>
      </c>
      <c r="C848" s="139" t="s">
        <v>0</v>
      </c>
      <c r="D848" s="5">
        <v>6234000600</v>
      </c>
      <c r="E848" s="156">
        <v>44590</v>
      </c>
      <c r="F848" s="155">
        <v>28435</v>
      </c>
      <c r="G848" s="5" t="s">
        <v>1</v>
      </c>
      <c r="H848" s="141"/>
      <c r="I848" s="142">
        <v>0</v>
      </c>
      <c r="J848" s="138">
        <v>26.32</v>
      </c>
      <c r="K848" s="3" t="s">
        <v>356</v>
      </c>
      <c r="L848" s="3" t="s">
        <v>366</v>
      </c>
      <c r="M848" s="6"/>
      <c r="N848" s="6"/>
      <c r="O848" s="138">
        <v>32600</v>
      </c>
      <c r="P848" s="17" t="s">
        <v>357</v>
      </c>
      <c r="Q848" s="136">
        <v>26.32</v>
      </c>
      <c r="R848" s="137">
        <v>26.32</v>
      </c>
      <c r="S848" t="s">
        <v>433</v>
      </c>
      <c r="T848">
        <f t="shared" si="52"/>
        <v>748409.2</v>
      </c>
      <c r="U848">
        <f t="shared" si="53"/>
        <v>4165</v>
      </c>
      <c r="V848">
        <f t="shared" si="54"/>
        <v>858032</v>
      </c>
      <c r="W848">
        <f t="shared" si="55"/>
        <v>109622.80000000005</v>
      </c>
    </row>
    <row r="849" spans="1:23" x14ac:dyDescent="0.25">
      <c r="A849" s="204">
        <v>7203454549</v>
      </c>
      <c r="B849" s="204">
        <v>7203226574</v>
      </c>
      <c r="C849" s="139" t="s">
        <v>0</v>
      </c>
      <c r="D849" s="5">
        <v>6234000600</v>
      </c>
      <c r="E849" s="156">
        <v>44591</v>
      </c>
      <c r="F849" s="155">
        <v>26700</v>
      </c>
      <c r="G849" s="5" t="s">
        <v>421</v>
      </c>
      <c r="H849" s="204">
        <v>5501208190</v>
      </c>
      <c r="I849" s="142">
        <v>1500</v>
      </c>
      <c r="J849" s="138">
        <v>26.54</v>
      </c>
      <c r="K849" s="3" t="s">
        <v>5</v>
      </c>
      <c r="L849" s="3" t="s">
        <v>22</v>
      </c>
      <c r="M849" s="6"/>
      <c r="N849" s="6"/>
      <c r="O849" s="138">
        <v>32600</v>
      </c>
      <c r="P849" s="17" t="s">
        <v>357</v>
      </c>
      <c r="Q849" s="136">
        <v>26.54</v>
      </c>
      <c r="R849" s="137">
        <v>26.54</v>
      </c>
      <c r="S849" t="s">
        <v>433</v>
      </c>
      <c r="T849">
        <f t="shared" si="52"/>
        <v>748428</v>
      </c>
      <c r="U849">
        <f t="shared" si="53"/>
        <v>4400</v>
      </c>
      <c r="V849">
        <f t="shared" si="54"/>
        <v>865204</v>
      </c>
      <c r="W849">
        <f t="shared" si="55"/>
        <v>116776</v>
      </c>
    </row>
    <row r="850" spans="1:23" x14ac:dyDescent="0.25">
      <c r="A850" s="204">
        <v>7203454549</v>
      </c>
      <c r="B850" s="204">
        <v>7203226574</v>
      </c>
      <c r="C850" s="139" t="s">
        <v>0</v>
      </c>
      <c r="D850" s="5">
        <v>6234000600</v>
      </c>
      <c r="E850" s="156">
        <v>44591</v>
      </c>
      <c r="F850" s="155">
        <v>26700</v>
      </c>
      <c r="G850" s="5" t="s">
        <v>421</v>
      </c>
      <c r="H850" s="204">
        <v>5501208190</v>
      </c>
      <c r="I850" s="142">
        <v>1500</v>
      </c>
      <c r="J850" s="138">
        <v>26.6</v>
      </c>
      <c r="K850" s="3" t="s">
        <v>3</v>
      </c>
      <c r="L850" s="3" t="s">
        <v>20</v>
      </c>
      <c r="M850" s="6"/>
      <c r="N850" s="6"/>
      <c r="O850" s="138">
        <v>32600</v>
      </c>
      <c r="P850" s="17" t="s">
        <v>357</v>
      </c>
      <c r="Q850" s="136">
        <v>26.6</v>
      </c>
      <c r="R850" s="137">
        <v>26.6</v>
      </c>
      <c r="S850" t="s">
        <v>433</v>
      </c>
      <c r="T850">
        <f t="shared" si="52"/>
        <v>750120</v>
      </c>
      <c r="U850">
        <f t="shared" si="53"/>
        <v>4400</v>
      </c>
      <c r="V850">
        <f t="shared" si="54"/>
        <v>867160</v>
      </c>
      <c r="W850">
        <f t="shared" si="55"/>
        <v>117040</v>
      </c>
    </row>
    <row r="851" spans="1:23" x14ac:dyDescent="0.25">
      <c r="A851" s="204">
        <v>7203454549</v>
      </c>
      <c r="B851" s="204">
        <v>7203226574</v>
      </c>
      <c r="C851" s="139" t="s">
        <v>0</v>
      </c>
      <c r="D851" s="5">
        <v>6234000600</v>
      </c>
      <c r="E851" s="156">
        <v>44591</v>
      </c>
      <c r="F851" s="155">
        <v>26700</v>
      </c>
      <c r="G851" s="5" t="s">
        <v>421</v>
      </c>
      <c r="H851" s="204">
        <v>5503182532</v>
      </c>
      <c r="I851" s="142">
        <v>1500</v>
      </c>
      <c r="J851" s="138">
        <v>26.14</v>
      </c>
      <c r="K851" s="3" t="s">
        <v>2</v>
      </c>
      <c r="L851" s="3" t="s">
        <v>19</v>
      </c>
      <c r="M851" s="6"/>
      <c r="N851" s="6"/>
      <c r="O851" s="138">
        <v>32600</v>
      </c>
      <c r="P851" s="17" t="s">
        <v>357</v>
      </c>
      <c r="Q851" s="136">
        <v>26.14</v>
      </c>
      <c r="R851" s="137">
        <v>26.14</v>
      </c>
      <c r="S851" t="s">
        <v>433</v>
      </c>
      <c r="T851">
        <f t="shared" si="52"/>
        <v>737148</v>
      </c>
      <c r="U851">
        <f t="shared" si="53"/>
        <v>4400</v>
      </c>
      <c r="V851">
        <f t="shared" si="54"/>
        <v>852164</v>
      </c>
      <c r="W851">
        <f t="shared" si="55"/>
        <v>115016</v>
      </c>
    </row>
    <row r="852" spans="1:23" x14ac:dyDescent="0.25">
      <c r="A852" s="204">
        <v>7203454549</v>
      </c>
      <c r="B852" s="204">
        <v>7203226574</v>
      </c>
      <c r="C852" s="139" t="s">
        <v>0</v>
      </c>
      <c r="D852" s="5">
        <v>6234000600</v>
      </c>
      <c r="E852" s="156">
        <v>44591</v>
      </c>
      <c r="F852" s="155">
        <v>26700</v>
      </c>
      <c r="G852" s="5" t="s">
        <v>421</v>
      </c>
      <c r="H852" s="204">
        <v>5503182532</v>
      </c>
      <c r="I852" s="142">
        <v>1500</v>
      </c>
      <c r="J852" s="138">
        <v>26.4</v>
      </c>
      <c r="K852" s="3" t="s">
        <v>97</v>
      </c>
      <c r="L852" s="3" t="s">
        <v>229</v>
      </c>
      <c r="M852" s="6"/>
      <c r="N852" s="6"/>
      <c r="O852" s="138">
        <v>32600</v>
      </c>
      <c r="P852" s="17" t="s">
        <v>357</v>
      </c>
      <c r="Q852" s="136">
        <v>26.4</v>
      </c>
      <c r="R852" s="137">
        <v>26.4</v>
      </c>
      <c r="S852" t="s">
        <v>433</v>
      </c>
      <c r="T852">
        <f t="shared" si="52"/>
        <v>744480</v>
      </c>
      <c r="U852">
        <f t="shared" si="53"/>
        <v>4400</v>
      </c>
      <c r="V852">
        <f t="shared" si="54"/>
        <v>860640</v>
      </c>
      <c r="W852">
        <f t="shared" si="55"/>
        <v>116160</v>
      </c>
    </row>
    <row r="853" spans="1:23" x14ac:dyDescent="0.25">
      <c r="A853" s="204">
        <v>7203454549</v>
      </c>
      <c r="B853" s="204">
        <v>7203226574</v>
      </c>
      <c r="C853" s="139" t="s">
        <v>0</v>
      </c>
      <c r="D853" s="5">
        <v>6234000600</v>
      </c>
      <c r="E853" s="156">
        <v>44591</v>
      </c>
      <c r="F853" s="155">
        <v>26700</v>
      </c>
      <c r="G853" s="5" t="s">
        <v>421</v>
      </c>
      <c r="H853" s="204">
        <v>5501132737</v>
      </c>
      <c r="I853" s="142">
        <v>1600</v>
      </c>
      <c r="J853" s="138">
        <v>26.42</v>
      </c>
      <c r="K853" s="3" t="s">
        <v>6</v>
      </c>
      <c r="L853" s="3" t="s">
        <v>23</v>
      </c>
      <c r="M853" s="6"/>
      <c r="N853" s="6"/>
      <c r="O853" s="138">
        <v>32600</v>
      </c>
      <c r="P853" s="17" t="s">
        <v>357</v>
      </c>
      <c r="Q853" s="136">
        <v>26.42</v>
      </c>
      <c r="R853" s="137">
        <v>26.42</v>
      </c>
      <c r="S853" t="s">
        <v>433</v>
      </c>
      <c r="T853">
        <f t="shared" si="52"/>
        <v>747686</v>
      </c>
      <c r="U853">
        <f t="shared" si="53"/>
        <v>4300</v>
      </c>
      <c r="V853">
        <f t="shared" si="54"/>
        <v>861292</v>
      </c>
      <c r="W853">
        <f t="shared" si="55"/>
        <v>113606</v>
      </c>
    </row>
    <row r="854" spans="1:23" x14ac:dyDescent="0.25">
      <c r="A854" s="204">
        <v>7203454549</v>
      </c>
      <c r="B854" s="204">
        <v>7203226574</v>
      </c>
      <c r="C854" s="139" t="s">
        <v>0</v>
      </c>
      <c r="D854" s="5">
        <v>6234000600</v>
      </c>
      <c r="E854" s="156">
        <v>44591</v>
      </c>
      <c r="F854" s="155">
        <v>28435</v>
      </c>
      <c r="G854" s="5" t="s">
        <v>1</v>
      </c>
      <c r="H854" s="141"/>
      <c r="I854" s="142">
        <v>0</v>
      </c>
      <c r="J854" s="138">
        <v>22.62</v>
      </c>
      <c r="K854" s="3" t="s">
        <v>9</v>
      </c>
      <c r="L854" s="3" t="s">
        <v>24</v>
      </c>
      <c r="M854" s="6"/>
      <c r="N854" s="6"/>
      <c r="O854" s="138">
        <v>32600</v>
      </c>
      <c r="P854" s="17" t="s">
        <v>357</v>
      </c>
      <c r="Q854" s="136">
        <v>22.62</v>
      </c>
      <c r="R854" s="137">
        <v>22.62</v>
      </c>
      <c r="S854" t="s">
        <v>433</v>
      </c>
      <c r="T854">
        <f t="shared" si="52"/>
        <v>643199.70000000007</v>
      </c>
      <c r="U854">
        <f t="shared" si="53"/>
        <v>4165</v>
      </c>
      <c r="V854">
        <f t="shared" si="54"/>
        <v>737412</v>
      </c>
      <c r="W854">
        <f t="shared" si="55"/>
        <v>94212.29999999993</v>
      </c>
    </row>
    <row r="855" spans="1:23" x14ac:dyDescent="0.25">
      <c r="A855" s="204">
        <v>7203454549</v>
      </c>
      <c r="B855" s="204">
        <v>7203226574</v>
      </c>
      <c r="C855" s="139" t="s">
        <v>0</v>
      </c>
      <c r="D855" s="5">
        <v>6234000600</v>
      </c>
      <c r="E855" s="156">
        <v>44591</v>
      </c>
      <c r="F855" s="155">
        <v>28435</v>
      </c>
      <c r="G855" s="5" t="s">
        <v>1</v>
      </c>
      <c r="H855" s="141"/>
      <c r="I855" s="142">
        <v>0</v>
      </c>
      <c r="J855" s="138">
        <v>26.9</v>
      </c>
      <c r="K855" s="3" t="s">
        <v>4</v>
      </c>
      <c r="L855" s="3" t="s">
        <v>21</v>
      </c>
      <c r="M855" s="6"/>
      <c r="N855" s="6"/>
      <c r="O855" s="138">
        <v>32600</v>
      </c>
      <c r="P855" s="17" t="s">
        <v>357</v>
      </c>
      <c r="Q855" s="136">
        <v>26.9</v>
      </c>
      <c r="R855" s="137">
        <v>26.9</v>
      </c>
      <c r="S855" t="s">
        <v>433</v>
      </c>
      <c r="T855">
        <f t="shared" si="52"/>
        <v>764901.5</v>
      </c>
      <c r="U855">
        <f t="shared" si="53"/>
        <v>4165</v>
      </c>
      <c r="V855">
        <f t="shared" si="54"/>
        <v>876940</v>
      </c>
      <c r="W855">
        <f t="shared" si="55"/>
        <v>112038.5</v>
      </c>
    </row>
    <row r="856" spans="1:23" x14ac:dyDescent="0.25">
      <c r="A856" s="204">
        <v>7203454549</v>
      </c>
      <c r="B856" s="204">
        <v>7203226574</v>
      </c>
      <c r="C856" s="139" t="s">
        <v>0</v>
      </c>
      <c r="D856" s="5">
        <v>6234000600</v>
      </c>
      <c r="E856" s="156">
        <v>44591</v>
      </c>
      <c r="F856" s="155">
        <v>28435</v>
      </c>
      <c r="G856" s="5" t="s">
        <v>1</v>
      </c>
      <c r="H856" s="141"/>
      <c r="I856" s="142">
        <v>0</v>
      </c>
      <c r="J856" s="138">
        <v>26.44</v>
      </c>
      <c r="K856" s="3" t="s">
        <v>356</v>
      </c>
      <c r="L856" s="3" t="s">
        <v>366</v>
      </c>
      <c r="M856" s="6"/>
      <c r="N856" s="6"/>
      <c r="O856" s="138">
        <v>32600</v>
      </c>
      <c r="P856" s="17" t="s">
        <v>357</v>
      </c>
      <c r="Q856" s="136">
        <v>26.44</v>
      </c>
      <c r="R856" s="137">
        <v>26.44</v>
      </c>
      <c r="S856" t="s">
        <v>433</v>
      </c>
      <c r="T856">
        <f t="shared" si="52"/>
        <v>751821.4</v>
      </c>
      <c r="U856">
        <f t="shared" si="53"/>
        <v>4165</v>
      </c>
      <c r="V856">
        <f t="shared" si="54"/>
        <v>861944</v>
      </c>
      <c r="W856">
        <f t="shared" si="55"/>
        <v>110122.59999999998</v>
      </c>
    </row>
    <row r="857" spans="1:23" x14ac:dyDescent="0.25">
      <c r="A857" s="204">
        <v>7203454549</v>
      </c>
      <c r="B857" s="204">
        <v>7203226574</v>
      </c>
      <c r="C857" s="139" t="s">
        <v>0</v>
      </c>
      <c r="D857" s="5">
        <v>6234000600</v>
      </c>
      <c r="E857" s="156">
        <v>44592</v>
      </c>
      <c r="F857" s="155">
        <v>26700</v>
      </c>
      <c r="G857" s="5" t="s">
        <v>421</v>
      </c>
      <c r="H857" s="204">
        <v>5503182532</v>
      </c>
      <c r="I857" s="142">
        <v>1500</v>
      </c>
      <c r="J857" s="138">
        <v>25.9</v>
      </c>
      <c r="K857" s="3" t="s">
        <v>97</v>
      </c>
      <c r="L857" s="3" t="s">
        <v>229</v>
      </c>
      <c r="M857" s="6"/>
      <c r="N857" s="6"/>
      <c r="O857" s="138">
        <v>32600</v>
      </c>
      <c r="P857" s="17" t="s">
        <v>357</v>
      </c>
      <c r="Q857" s="136">
        <v>25.9</v>
      </c>
      <c r="R857" s="137">
        <v>25.9</v>
      </c>
      <c r="S857" t="s">
        <v>433</v>
      </c>
      <c r="T857">
        <f t="shared" si="52"/>
        <v>730380</v>
      </c>
      <c r="U857">
        <f t="shared" si="53"/>
        <v>4400</v>
      </c>
      <c r="V857">
        <f t="shared" si="54"/>
        <v>844340</v>
      </c>
      <c r="W857">
        <f t="shared" si="55"/>
        <v>113960</v>
      </c>
    </row>
    <row r="858" spans="1:23" x14ac:dyDescent="0.25">
      <c r="A858" s="204">
        <v>7203454549</v>
      </c>
      <c r="B858" s="204">
        <v>7203226574</v>
      </c>
      <c r="C858" s="139" t="s">
        <v>0</v>
      </c>
      <c r="D858" s="5">
        <v>6234000600</v>
      </c>
      <c r="E858" s="156">
        <v>44592</v>
      </c>
      <c r="F858" s="155">
        <v>26700</v>
      </c>
      <c r="G858" s="5" t="s">
        <v>421</v>
      </c>
      <c r="H858" s="204">
        <v>5501132737</v>
      </c>
      <c r="I858" s="142">
        <v>1600</v>
      </c>
      <c r="J858" s="138">
        <v>25.82</v>
      </c>
      <c r="K858" s="3" t="s">
        <v>6</v>
      </c>
      <c r="L858" s="3" t="s">
        <v>23</v>
      </c>
      <c r="M858" s="6"/>
      <c r="N858" s="6"/>
      <c r="O858" s="138">
        <v>32600</v>
      </c>
      <c r="P858" s="17" t="s">
        <v>357</v>
      </c>
      <c r="Q858" s="136">
        <v>25.82</v>
      </c>
      <c r="R858" s="137">
        <v>25.82</v>
      </c>
      <c r="S858" t="s">
        <v>433</v>
      </c>
      <c r="T858">
        <f t="shared" si="52"/>
        <v>730706</v>
      </c>
      <c r="U858">
        <f t="shared" si="53"/>
        <v>4300</v>
      </c>
      <c r="V858">
        <f t="shared" si="54"/>
        <v>841732</v>
      </c>
      <c r="W858">
        <f t="shared" si="55"/>
        <v>111026</v>
      </c>
    </row>
    <row r="859" spans="1:23" x14ac:dyDescent="0.25">
      <c r="A859" s="204">
        <v>7203454549</v>
      </c>
      <c r="B859" s="204">
        <v>7203226574</v>
      </c>
      <c r="C859" s="139" t="s">
        <v>0</v>
      </c>
      <c r="D859" s="5">
        <v>6234000600</v>
      </c>
      <c r="E859" s="156">
        <v>44592</v>
      </c>
      <c r="F859" s="155">
        <v>28435</v>
      </c>
      <c r="G859" s="5" t="s">
        <v>1</v>
      </c>
      <c r="H859" s="140"/>
      <c r="I859" s="142">
        <v>0</v>
      </c>
      <c r="J859" s="138">
        <v>23.96</v>
      </c>
      <c r="K859" s="3" t="s">
        <v>355</v>
      </c>
      <c r="L859" s="3" t="s">
        <v>365</v>
      </c>
      <c r="M859" s="6"/>
      <c r="N859" s="6"/>
      <c r="O859" s="138">
        <v>32600</v>
      </c>
      <c r="P859" s="17" t="s">
        <v>357</v>
      </c>
      <c r="Q859" s="136">
        <v>23.96</v>
      </c>
      <c r="R859" s="137">
        <v>23.96</v>
      </c>
      <c r="S859" t="s">
        <v>433</v>
      </c>
      <c r="T859">
        <f t="shared" si="52"/>
        <v>681302.6</v>
      </c>
      <c r="U859">
        <f t="shared" si="53"/>
        <v>4165</v>
      </c>
      <c r="V859">
        <f t="shared" si="54"/>
        <v>781096</v>
      </c>
      <c r="W859">
        <f t="shared" si="55"/>
        <v>99793.400000000023</v>
      </c>
    </row>
    <row r="860" spans="1:23" x14ac:dyDescent="0.25">
      <c r="A860" s="204">
        <v>7203454549</v>
      </c>
      <c r="B860" s="204">
        <v>7203226574</v>
      </c>
      <c r="C860" s="139" t="s">
        <v>0</v>
      </c>
      <c r="D860" s="5">
        <v>6234000600</v>
      </c>
      <c r="E860" s="156">
        <v>44592</v>
      </c>
      <c r="F860" s="155">
        <v>28435</v>
      </c>
      <c r="G860" s="5" t="s">
        <v>1</v>
      </c>
      <c r="H860" s="140"/>
      <c r="I860" s="142">
        <v>0</v>
      </c>
      <c r="J860" s="138">
        <v>22.72</v>
      </c>
      <c r="K860" s="3" t="s">
        <v>9</v>
      </c>
      <c r="L860" s="3" t="s">
        <v>24</v>
      </c>
      <c r="M860" s="6"/>
      <c r="N860" s="6"/>
      <c r="O860" s="138">
        <v>32600</v>
      </c>
      <c r="P860" s="17" t="s">
        <v>357</v>
      </c>
      <c r="Q860" s="136">
        <v>22.72</v>
      </c>
      <c r="R860" s="137">
        <v>22.72</v>
      </c>
      <c r="S860" t="s">
        <v>433</v>
      </c>
      <c r="T860">
        <f t="shared" si="52"/>
        <v>646043.19999999995</v>
      </c>
      <c r="U860">
        <f t="shared" si="53"/>
        <v>4165</v>
      </c>
      <c r="V860">
        <f t="shared" si="54"/>
        <v>740672</v>
      </c>
      <c r="W860">
        <f t="shared" si="55"/>
        <v>94628.800000000047</v>
      </c>
    </row>
    <row r="861" spans="1:23" x14ac:dyDescent="0.25">
      <c r="A861" s="204">
        <v>8602260410</v>
      </c>
      <c r="B861" s="153">
        <v>8602260410</v>
      </c>
      <c r="C861" s="153" t="s">
        <v>375</v>
      </c>
      <c r="D861" s="5">
        <v>6234000600</v>
      </c>
      <c r="E861" s="156">
        <v>44667</v>
      </c>
      <c r="F861" s="155">
        <v>28135</v>
      </c>
      <c r="G861" s="5" t="s">
        <v>421</v>
      </c>
      <c r="H861" s="204">
        <v>5501132737</v>
      </c>
      <c r="I861" s="152">
        <v>2762</v>
      </c>
      <c r="J861" s="148">
        <v>25.96</v>
      </c>
      <c r="K861" s="3" t="s">
        <v>195</v>
      </c>
      <c r="L861" s="3" t="s">
        <v>370</v>
      </c>
      <c r="M861" s="6"/>
      <c r="N861" s="6"/>
      <c r="O861" s="151">
        <v>33000</v>
      </c>
      <c r="P861" s="6"/>
      <c r="Q861" s="144">
        <v>25.96</v>
      </c>
      <c r="R861" s="148">
        <v>25.96</v>
      </c>
      <c r="S861" t="s">
        <v>433</v>
      </c>
      <c r="T861">
        <f t="shared" si="52"/>
        <v>802086.12</v>
      </c>
      <c r="U861">
        <f t="shared" si="53"/>
        <v>2103</v>
      </c>
      <c r="V861">
        <f t="shared" si="54"/>
        <v>856680</v>
      </c>
      <c r="W861">
        <f t="shared" si="55"/>
        <v>54593.880000000005</v>
      </c>
    </row>
    <row r="862" spans="1:23" x14ac:dyDescent="0.25">
      <c r="A862" s="204">
        <v>8602260410</v>
      </c>
      <c r="B862" s="153">
        <v>8602260410</v>
      </c>
      <c r="C862" s="153" t="s">
        <v>375</v>
      </c>
      <c r="D862" s="5">
        <v>6234000600</v>
      </c>
      <c r="E862" s="156">
        <v>44667</v>
      </c>
      <c r="F862" s="155">
        <v>28135</v>
      </c>
      <c r="G862" s="5" t="s">
        <v>421</v>
      </c>
      <c r="H862" s="204">
        <v>5501132737</v>
      </c>
      <c r="I862" s="152">
        <v>2762</v>
      </c>
      <c r="J862" s="148">
        <v>26.22</v>
      </c>
      <c r="K862" s="3" t="s">
        <v>114</v>
      </c>
      <c r="L862" s="3" t="s">
        <v>172</v>
      </c>
      <c r="M862" s="6"/>
      <c r="N862" s="6"/>
      <c r="O862" s="151">
        <v>33000</v>
      </c>
      <c r="P862" s="6"/>
      <c r="Q862" s="144">
        <v>26.22</v>
      </c>
      <c r="R862" s="148">
        <v>26.22</v>
      </c>
      <c r="S862" t="s">
        <v>433</v>
      </c>
      <c r="T862">
        <f t="shared" si="52"/>
        <v>810119.34</v>
      </c>
      <c r="U862">
        <f t="shared" si="53"/>
        <v>2103</v>
      </c>
      <c r="V862">
        <f t="shared" si="54"/>
        <v>865260</v>
      </c>
      <c r="W862">
        <f t="shared" si="55"/>
        <v>55140.660000000033</v>
      </c>
    </row>
    <row r="863" spans="1:23" x14ac:dyDescent="0.25">
      <c r="A863" s="204">
        <v>8602260410</v>
      </c>
      <c r="B863" s="204">
        <v>8602260410</v>
      </c>
      <c r="C863" s="153" t="s">
        <v>375</v>
      </c>
      <c r="D863" s="5">
        <v>6234000600</v>
      </c>
      <c r="E863" s="156">
        <v>44667</v>
      </c>
      <c r="F863" s="155">
        <v>28135</v>
      </c>
      <c r="G863" s="5" t="s">
        <v>421</v>
      </c>
      <c r="H863" s="204">
        <v>5501132737</v>
      </c>
      <c r="I863" s="152">
        <v>2762</v>
      </c>
      <c r="J863" s="148">
        <v>26.1</v>
      </c>
      <c r="K863" s="3" t="s">
        <v>367</v>
      </c>
      <c r="L863" s="3" t="s">
        <v>171</v>
      </c>
      <c r="M863" s="6"/>
      <c r="N863" s="6"/>
      <c r="O863" s="151">
        <v>33000</v>
      </c>
      <c r="P863" s="6"/>
      <c r="Q863" s="144">
        <v>26.1</v>
      </c>
      <c r="R863" s="148">
        <v>26.1</v>
      </c>
      <c r="S863" t="s">
        <v>433</v>
      </c>
      <c r="T863">
        <f t="shared" si="52"/>
        <v>806411.70000000007</v>
      </c>
      <c r="U863">
        <f t="shared" si="53"/>
        <v>2103</v>
      </c>
      <c r="V863">
        <f t="shared" si="54"/>
        <v>861300</v>
      </c>
      <c r="W863">
        <f t="shared" si="55"/>
        <v>54888.29999999993</v>
      </c>
    </row>
    <row r="864" spans="1:23" x14ac:dyDescent="0.25">
      <c r="A864" s="204">
        <v>8602260410</v>
      </c>
      <c r="B864" s="204">
        <v>8602260410</v>
      </c>
      <c r="C864" s="153" t="s">
        <v>375</v>
      </c>
      <c r="D864" s="5">
        <v>6234000600</v>
      </c>
      <c r="E864" s="156">
        <v>44668</v>
      </c>
      <c r="F864" s="155">
        <v>28135</v>
      </c>
      <c r="G864" s="5" t="s">
        <v>421</v>
      </c>
      <c r="H864" s="204">
        <v>5501132737</v>
      </c>
      <c r="I864" s="152">
        <v>2762</v>
      </c>
      <c r="J864" s="148">
        <v>26.36</v>
      </c>
      <c r="K864" s="3" t="s">
        <v>196</v>
      </c>
      <c r="L864" s="3" t="s">
        <v>371</v>
      </c>
      <c r="M864" s="6"/>
      <c r="N864" s="6"/>
      <c r="O864" s="151">
        <v>33000</v>
      </c>
      <c r="P864" s="6"/>
      <c r="Q864" s="144">
        <v>26.36</v>
      </c>
      <c r="R864" s="148">
        <v>26.36</v>
      </c>
      <c r="S864" t="s">
        <v>433</v>
      </c>
      <c r="T864">
        <f t="shared" si="52"/>
        <v>814444.91999999993</v>
      </c>
      <c r="U864">
        <f t="shared" si="53"/>
        <v>2103</v>
      </c>
      <c r="V864">
        <f t="shared" si="54"/>
        <v>869880</v>
      </c>
      <c r="W864">
        <f t="shared" si="55"/>
        <v>55435.080000000075</v>
      </c>
    </row>
    <row r="865" spans="1:23" x14ac:dyDescent="0.25">
      <c r="A865" s="204">
        <v>8602260410</v>
      </c>
      <c r="B865" s="204">
        <v>8602260410</v>
      </c>
      <c r="C865" s="153" t="s">
        <v>375</v>
      </c>
      <c r="D865" s="5">
        <v>6234000600</v>
      </c>
      <c r="E865" s="156">
        <v>44668</v>
      </c>
      <c r="F865" s="155">
        <v>28135</v>
      </c>
      <c r="G865" s="5" t="s">
        <v>421</v>
      </c>
      <c r="H865" s="204">
        <v>5501132737</v>
      </c>
      <c r="I865" s="152">
        <v>2762</v>
      </c>
      <c r="J865" s="148">
        <v>26.58</v>
      </c>
      <c r="K865" s="3" t="s">
        <v>266</v>
      </c>
      <c r="L865" s="3" t="s">
        <v>372</v>
      </c>
      <c r="M865" s="6"/>
      <c r="N865" s="6"/>
      <c r="O865" s="151">
        <v>33000</v>
      </c>
      <c r="P865" s="6"/>
      <c r="Q865" s="144">
        <v>26.58</v>
      </c>
      <c r="R865" s="148">
        <v>26.58</v>
      </c>
      <c r="S865" t="s">
        <v>433</v>
      </c>
      <c r="T865">
        <f t="shared" si="52"/>
        <v>821242.25999999989</v>
      </c>
      <c r="U865">
        <f t="shared" si="53"/>
        <v>2103</v>
      </c>
      <c r="V865">
        <f t="shared" si="54"/>
        <v>877140</v>
      </c>
      <c r="W865">
        <f t="shared" si="55"/>
        <v>55897.740000000107</v>
      </c>
    </row>
    <row r="866" spans="1:23" x14ac:dyDescent="0.25">
      <c r="A866" s="204">
        <v>8602260410</v>
      </c>
      <c r="B866" s="204">
        <v>8602260410</v>
      </c>
      <c r="C866" s="153" t="s">
        <v>375</v>
      </c>
      <c r="D866" s="5">
        <v>6234000600</v>
      </c>
      <c r="E866" s="156">
        <v>44669</v>
      </c>
      <c r="F866" s="155">
        <v>28380</v>
      </c>
      <c r="G866" s="5" t="s">
        <v>421</v>
      </c>
      <c r="H866" s="204">
        <v>5501132737</v>
      </c>
      <c r="I866" s="152">
        <v>2539</v>
      </c>
      <c r="J866" s="149">
        <v>26.08</v>
      </c>
      <c r="K866" s="3" t="s">
        <v>368</v>
      </c>
      <c r="L866" s="3" t="s">
        <v>373</v>
      </c>
      <c r="M866" s="6"/>
      <c r="N866" s="6"/>
      <c r="O866" s="151">
        <v>33000</v>
      </c>
      <c r="P866" s="6"/>
      <c r="Q866" s="145">
        <v>26.08</v>
      </c>
      <c r="R866" s="149">
        <v>26.08</v>
      </c>
      <c r="S866" t="s">
        <v>433</v>
      </c>
      <c r="T866">
        <f t="shared" si="52"/>
        <v>806367.5199999999</v>
      </c>
      <c r="U866">
        <f t="shared" si="53"/>
        <v>2081</v>
      </c>
      <c r="V866">
        <f t="shared" si="54"/>
        <v>860640</v>
      </c>
      <c r="W866">
        <f t="shared" si="55"/>
        <v>54272.480000000098</v>
      </c>
    </row>
    <row r="867" spans="1:23" x14ac:dyDescent="0.25">
      <c r="A867" s="204">
        <v>8602260410</v>
      </c>
      <c r="B867" s="204">
        <v>8602260410</v>
      </c>
      <c r="C867" s="153" t="s">
        <v>375</v>
      </c>
      <c r="D867" s="5">
        <v>6234000600</v>
      </c>
      <c r="E867" s="156">
        <v>44669</v>
      </c>
      <c r="F867" s="155">
        <v>28135</v>
      </c>
      <c r="G867" s="5" t="s">
        <v>421</v>
      </c>
      <c r="H867" s="204">
        <v>5501132737</v>
      </c>
      <c r="I867" s="152">
        <v>2762</v>
      </c>
      <c r="J867" s="150">
        <v>26.02</v>
      </c>
      <c r="K867" s="3" t="s">
        <v>211</v>
      </c>
      <c r="L867" s="3" t="s">
        <v>70</v>
      </c>
      <c r="M867" s="6"/>
      <c r="N867" s="6"/>
      <c r="O867" s="151">
        <v>33000</v>
      </c>
      <c r="P867" s="6"/>
      <c r="Q867" s="146">
        <v>26.02</v>
      </c>
      <c r="R867" s="150">
        <v>26.02</v>
      </c>
      <c r="S867" t="s">
        <v>433</v>
      </c>
      <c r="T867">
        <f t="shared" si="52"/>
        <v>803939.94</v>
      </c>
      <c r="U867">
        <f t="shared" si="53"/>
        <v>2103</v>
      </c>
      <c r="V867">
        <f t="shared" si="54"/>
        <v>858660</v>
      </c>
      <c r="W867">
        <f t="shared" si="55"/>
        <v>54720.060000000056</v>
      </c>
    </row>
    <row r="868" spans="1:23" x14ac:dyDescent="0.25">
      <c r="A868" s="204">
        <v>8602260410</v>
      </c>
      <c r="B868" s="204">
        <v>8602260410</v>
      </c>
      <c r="C868" s="153" t="s">
        <v>375</v>
      </c>
      <c r="D868" s="5">
        <v>6234000600</v>
      </c>
      <c r="E868" s="156">
        <v>44669</v>
      </c>
      <c r="F868" s="155">
        <v>28135</v>
      </c>
      <c r="G868" s="5" t="s">
        <v>421</v>
      </c>
      <c r="H868" s="204">
        <v>5501132737</v>
      </c>
      <c r="I868" s="152">
        <v>2762</v>
      </c>
      <c r="J868" s="150">
        <v>26.1</v>
      </c>
      <c r="K868" s="3" t="s">
        <v>6</v>
      </c>
      <c r="L868" s="3" t="s">
        <v>85</v>
      </c>
      <c r="M868" s="6"/>
      <c r="N868" s="6"/>
      <c r="O868" s="151">
        <v>33000</v>
      </c>
      <c r="P868" s="6"/>
      <c r="Q868" s="146">
        <v>26.1</v>
      </c>
      <c r="R868" s="150">
        <v>26.1</v>
      </c>
      <c r="S868" t="s">
        <v>433</v>
      </c>
      <c r="T868">
        <f t="shared" si="52"/>
        <v>806411.70000000007</v>
      </c>
      <c r="U868">
        <f t="shared" si="53"/>
        <v>2103</v>
      </c>
      <c r="V868">
        <f t="shared" si="54"/>
        <v>861300</v>
      </c>
      <c r="W868">
        <f t="shared" si="55"/>
        <v>54888.29999999993</v>
      </c>
    </row>
    <row r="869" spans="1:23" x14ac:dyDescent="0.25">
      <c r="A869" s="204">
        <v>8602260410</v>
      </c>
      <c r="B869" s="204">
        <v>8602260410</v>
      </c>
      <c r="C869" s="153" t="s">
        <v>375</v>
      </c>
      <c r="D869" s="5">
        <v>6234000600</v>
      </c>
      <c r="E869" s="156">
        <v>44670</v>
      </c>
      <c r="F869" s="155">
        <v>28135</v>
      </c>
      <c r="G869" s="5" t="s">
        <v>421</v>
      </c>
      <c r="H869" s="204">
        <v>5503182532</v>
      </c>
      <c r="I869" s="152">
        <v>4400</v>
      </c>
      <c r="J869" s="149">
        <v>25.68</v>
      </c>
      <c r="K869" s="3" t="s">
        <v>103</v>
      </c>
      <c r="L869" s="3" t="s">
        <v>161</v>
      </c>
      <c r="M869" s="6"/>
      <c r="N869" s="6"/>
      <c r="O869" s="151">
        <v>33000</v>
      </c>
      <c r="P869" s="6"/>
      <c r="Q869" s="145">
        <v>25.68</v>
      </c>
      <c r="R869" s="149">
        <v>25.68</v>
      </c>
      <c r="S869" t="s">
        <v>433</v>
      </c>
      <c r="T869">
        <f t="shared" si="52"/>
        <v>835498.8</v>
      </c>
      <c r="U869">
        <f t="shared" si="53"/>
        <v>465</v>
      </c>
      <c r="V869">
        <f t="shared" si="54"/>
        <v>847440</v>
      </c>
      <c r="W869">
        <f t="shared" si="55"/>
        <v>11941.199999999953</v>
      </c>
    </row>
    <row r="870" spans="1:23" x14ac:dyDescent="0.25">
      <c r="A870" s="204">
        <v>8602260410</v>
      </c>
      <c r="B870" s="204">
        <v>8602260410</v>
      </c>
      <c r="C870" s="153" t="s">
        <v>375</v>
      </c>
      <c r="D870" s="5">
        <v>6234000600</v>
      </c>
      <c r="E870" s="156">
        <v>44670</v>
      </c>
      <c r="F870" s="155">
        <v>28135</v>
      </c>
      <c r="G870" s="5" t="s">
        <v>421</v>
      </c>
      <c r="H870" s="204">
        <v>5503182532</v>
      </c>
      <c r="I870" s="152">
        <v>4400</v>
      </c>
      <c r="J870" s="149">
        <v>26.1</v>
      </c>
      <c r="K870" s="3" t="s">
        <v>115</v>
      </c>
      <c r="L870" s="3" t="s">
        <v>374</v>
      </c>
      <c r="M870" s="6"/>
      <c r="N870" s="6"/>
      <c r="O870" s="151">
        <v>33000</v>
      </c>
      <c r="P870" s="6"/>
      <c r="Q870" s="145">
        <v>26.1</v>
      </c>
      <c r="R870" s="149">
        <v>26.1</v>
      </c>
      <c r="S870" t="s">
        <v>433</v>
      </c>
      <c r="T870">
        <f t="shared" si="52"/>
        <v>849163.5</v>
      </c>
      <c r="U870">
        <f t="shared" si="53"/>
        <v>465</v>
      </c>
      <c r="V870">
        <f t="shared" si="54"/>
        <v>861300</v>
      </c>
      <c r="W870">
        <f t="shared" si="55"/>
        <v>12136.5</v>
      </c>
    </row>
    <row r="871" spans="1:23" x14ac:dyDescent="0.25">
      <c r="A871" s="204">
        <v>8602260410</v>
      </c>
      <c r="B871" s="204">
        <v>8602260410</v>
      </c>
      <c r="C871" s="153" t="s">
        <v>376</v>
      </c>
      <c r="D871" s="5">
        <v>6234000600</v>
      </c>
      <c r="E871" s="156">
        <v>44670</v>
      </c>
      <c r="F871" s="155">
        <v>28380</v>
      </c>
      <c r="G871" s="5" t="s">
        <v>421</v>
      </c>
      <c r="H871" s="204">
        <v>5501132737</v>
      </c>
      <c r="I871" s="152">
        <v>2539</v>
      </c>
      <c r="J871" s="149">
        <v>26.4</v>
      </c>
      <c r="K871" s="3" t="s">
        <v>189</v>
      </c>
      <c r="L871" s="3" t="s">
        <v>318</v>
      </c>
      <c r="M871" s="6"/>
      <c r="N871" s="6"/>
      <c r="O871" s="151">
        <v>33000</v>
      </c>
      <c r="P871" s="6"/>
      <c r="Q871" s="145">
        <v>26.4</v>
      </c>
      <c r="R871" s="149">
        <v>26.4</v>
      </c>
      <c r="S871" t="s">
        <v>433</v>
      </c>
      <c r="T871">
        <f t="shared" si="52"/>
        <v>816261.6</v>
      </c>
      <c r="U871">
        <f t="shared" si="53"/>
        <v>2081</v>
      </c>
      <c r="V871">
        <f t="shared" si="54"/>
        <v>871200</v>
      </c>
      <c r="W871">
        <f t="shared" si="55"/>
        <v>54938.400000000023</v>
      </c>
    </row>
    <row r="872" spans="1:23" x14ac:dyDescent="0.25">
      <c r="A872" s="204">
        <v>8602260410</v>
      </c>
      <c r="B872" s="204">
        <v>8602260410</v>
      </c>
      <c r="C872" s="153" t="s">
        <v>377</v>
      </c>
      <c r="D872" s="5">
        <v>6234000600</v>
      </c>
      <c r="E872" s="156">
        <v>44671</v>
      </c>
      <c r="F872" s="155">
        <v>28135</v>
      </c>
      <c r="G872" s="5" t="s">
        <v>421</v>
      </c>
      <c r="H872" s="204">
        <v>5501132737</v>
      </c>
      <c r="I872" s="152">
        <v>2762</v>
      </c>
      <c r="J872" s="147">
        <v>23.26</v>
      </c>
      <c r="K872" s="3" t="s">
        <v>369</v>
      </c>
      <c r="L872" s="3"/>
      <c r="M872" s="6"/>
      <c r="N872" s="6"/>
      <c r="O872" s="151">
        <v>33000</v>
      </c>
      <c r="P872" s="6"/>
      <c r="Q872" s="143">
        <v>23.26</v>
      </c>
      <c r="R872" s="147">
        <v>23.26</v>
      </c>
      <c r="S872" t="s">
        <v>433</v>
      </c>
      <c r="T872">
        <f t="shared" si="52"/>
        <v>718664.22000000009</v>
      </c>
      <c r="U872">
        <f t="shared" si="53"/>
        <v>2103</v>
      </c>
      <c r="V872">
        <f t="shared" si="54"/>
        <v>767580</v>
      </c>
      <c r="W872">
        <f t="shared" si="55"/>
        <v>48915.779999999912</v>
      </c>
    </row>
    <row r="873" spans="1:23" x14ac:dyDescent="0.25">
      <c r="A873" s="204">
        <v>8602260410</v>
      </c>
      <c r="B873" s="154">
        <v>4825035530</v>
      </c>
      <c r="C873" s="154" t="s">
        <v>378</v>
      </c>
      <c r="D873" s="5">
        <v>6234000600</v>
      </c>
      <c r="E873" s="156">
        <v>44662</v>
      </c>
      <c r="F873" s="155">
        <v>28500</v>
      </c>
      <c r="G873" s="4" t="s">
        <v>1</v>
      </c>
      <c r="H873" s="24"/>
      <c r="I873" s="172">
        <v>0</v>
      </c>
      <c r="J873" s="168">
        <v>26.53</v>
      </c>
      <c r="K873" s="24"/>
      <c r="L873" s="24"/>
      <c r="M873" s="24"/>
      <c r="N873" s="24"/>
      <c r="O873" s="167">
        <v>28600</v>
      </c>
      <c r="P873" s="24" t="s">
        <v>381</v>
      </c>
      <c r="Q873" s="158">
        <v>26.53</v>
      </c>
      <c r="R873" s="163">
        <v>26.53</v>
      </c>
      <c r="S873" t="s">
        <v>433</v>
      </c>
      <c r="T873">
        <f t="shared" si="52"/>
        <v>756105</v>
      </c>
      <c r="U873">
        <f t="shared" si="53"/>
        <v>100</v>
      </c>
      <c r="V873">
        <f t="shared" si="54"/>
        <v>758758</v>
      </c>
      <c r="W873">
        <f t="shared" si="55"/>
        <v>2653</v>
      </c>
    </row>
    <row r="874" spans="1:23" x14ac:dyDescent="0.25">
      <c r="A874" s="204">
        <v>8602260410</v>
      </c>
      <c r="B874" s="204">
        <v>4825035530</v>
      </c>
      <c r="C874" s="154" t="s">
        <v>378</v>
      </c>
      <c r="D874" s="5">
        <v>6234000600</v>
      </c>
      <c r="E874" s="156">
        <v>44662</v>
      </c>
      <c r="F874" s="155">
        <v>28500</v>
      </c>
      <c r="G874" s="4" t="s">
        <v>1</v>
      </c>
      <c r="H874" s="24"/>
      <c r="I874" s="172">
        <v>0</v>
      </c>
      <c r="J874" s="168">
        <v>23.28</v>
      </c>
      <c r="K874" s="24"/>
      <c r="L874" s="24"/>
      <c r="M874" s="24"/>
      <c r="N874" s="24"/>
      <c r="O874" s="167">
        <v>28600</v>
      </c>
      <c r="P874" s="24" t="s">
        <v>381</v>
      </c>
      <c r="Q874" s="158">
        <v>23.28</v>
      </c>
      <c r="R874" s="163">
        <v>23.28</v>
      </c>
      <c r="S874" t="s">
        <v>433</v>
      </c>
      <c r="T874">
        <f t="shared" si="52"/>
        <v>663480</v>
      </c>
      <c r="U874">
        <f t="shared" si="53"/>
        <v>100</v>
      </c>
      <c r="V874">
        <f t="shared" si="54"/>
        <v>665808</v>
      </c>
      <c r="W874">
        <f t="shared" si="55"/>
        <v>2328</v>
      </c>
    </row>
    <row r="875" spans="1:23" x14ac:dyDescent="0.25">
      <c r="A875" s="204">
        <v>8602260410</v>
      </c>
      <c r="B875" s="204">
        <v>4825035530</v>
      </c>
      <c r="C875" s="154" t="s">
        <v>378</v>
      </c>
      <c r="D875" s="5">
        <v>6234000600</v>
      </c>
      <c r="E875" s="156">
        <v>44663</v>
      </c>
      <c r="F875" s="155">
        <v>28500</v>
      </c>
      <c r="G875" s="4" t="s">
        <v>1</v>
      </c>
      <c r="H875" s="24"/>
      <c r="I875" s="172">
        <v>0</v>
      </c>
      <c r="J875" s="168">
        <v>26.29</v>
      </c>
      <c r="K875" s="24"/>
      <c r="L875" s="24"/>
      <c r="M875" s="24"/>
      <c r="N875" s="24"/>
      <c r="O875" s="167">
        <v>28600</v>
      </c>
      <c r="P875" s="24" t="s">
        <v>381</v>
      </c>
      <c r="Q875" s="158">
        <v>26.29</v>
      </c>
      <c r="R875" s="163">
        <v>26.29</v>
      </c>
      <c r="S875" t="s">
        <v>433</v>
      </c>
      <c r="T875">
        <f t="shared" si="52"/>
        <v>749265</v>
      </c>
      <c r="U875">
        <f t="shared" si="53"/>
        <v>100</v>
      </c>
      <c r="V875">
        <f t="shared" si="54"/>
        <v>751894</v>
      </c>
      <c r="W875">
        <f t="shared" si="55"/>
        <v>2629</v>
      </c>
    </row>
    <row r="876" spans="1:23" x14ac:dyDescent="0.25">
      <c r="A876" s="204">
        <v>8602260410</v>
      </c>
      <c r="B876" s="204">
        <v>4825035530</v>
      </c>
      <c r="C876" s="154" t="s">
        <v>378</v>
      </c>
      <c r="D876" s="5">
        <v>6234000600</v>
      </c>
      <c r="E876" s="156">
        <v>44663</v>
      </c>
      <c r="F876" s="155">
        <v>28500</v>
      </c>
      <c r="G876" s="4" t="s">
        <v>1</v>
      </c>
      <c r="H876" s="24"/>
      <c r="I876" s="172">
        <v>0</v>
      </c>
      <c r="J876" s="168">
        <v>26.66</v>
      </c>
      <c r="K876" s="24"/>
      <c r="L876" s="24"/>
      <c r="M876" s="24"/>
      <c r="N876" s="24"/>
      <c r="O876" s="167">
        <v>28600</v>
      </c>
      <c r="P876" s="24" t="s">
        <v>381</v>
      </c>
      <c r="Q876" s="158">
        <v>26.66</v>
      </c>
      <c r="R876" s="163">
        <v>26.66</v>
      </c>
      <c r="S876" t="s">
        <v>433</v>
      </c>
      <c r="T876">
        <f t="shared" si="52"/>
        <v>759810</v>
      </c>
      <c r="U876">
        <f t="shared" si="53"/>
        <v>100</v>
      </c>
      <c r="V876">
        <f t="shared" si="54"/>
        <v>762476</v>
      </c>
      <c r="W876">
        <f t="shared" si="55"/>
        <v>2666</v>
      </c>
    </row>
    <row r="877" spans="1:23" x14ac:dyDescent="0.25">
      <c r="A877" s="204">
        <v>8602260410</v>
      </c>
      <c r="B877" s="204">
        <v>4825035530</v>
      </c>
      <c r="C877" s="154" t="s">
        <v>379</v>
      </c>
      <c r="D877" s="5">
        <v>6234000600</v>
      </c>
      <c r="E877" s="156">
        <v>44663</v>
      </c>
      <c r="F877" s="155">
        <v>28500</v>
      </c>
      <c r="G877" s="4" t="s">
        <v>1</v>
      </c>
      <c r="H877" s="24"/>
      <c r="I877" s="172">
        <v>0</v>
      </c>
      <c r="J877" s="169">
        <v>26.5</v>
      </c>
      <c r="K877" s="24"/>
      <c r="L877" s="24"/>
      <c r="M877" s="24"/>
      <c r="N877" s="24"/>
      <c r="O877" s="167">
        <v>28600</v>
      </c>
      <c r="P877" s="24" t="s">
        <v>381</v>
      </c>
      <c r="Q877" s="159">
        <v>26.5</v>
      </c>
      <c r="R877" s="164">
        <v>26.5</v>
      </c>
      <c r="S877" t="s">
        <v>433</v>
      </c>
      <c r="T877">
        <f t="shared" si="52"/>
        <v>755250</v>
      </c>
      <c r="U877">
        <f t="shared" si="53"/>
        <v>100</v>
      </c>
      <c r="V877">
        <f t="shared" si="54"/>
        <v>757900</v>
      </c>
      <c r="W877">
        <f t="shared" si="55"/>
        <v>2650</v>
      </c>
    </row>
    <row r="878" spans="1:23" x14ac:dyDescent="0.25">
      <c r="A878" s="204">
        <v>8602260410</v>
      </c>
      <c r="B878" s="204">
        <v>4825035530</v>
      </c>
      <c r="C878" s="154" t="s">
        <v>378</v>
      </c>
      <c r="D878" s="5">
        <v>6234000600</v>
      </c>
      <c r="E878" s="156">
        <v>44664</v>
      </c>
      <c r="F878" s="155">
        <v>28500</v>
      </c>
      <c r="G878" s="4" t="s">
        <v>1</v>
      </c>
      <c r="H878" s="24"/>
      <c r="I878" s="172">
        <v>0</v>
      </c>
      <c r="J878" s="168">
        <v>24.59</v>
      </c>
      <c r="K878" s="24"/>
      <c r="L878" s="24"/>
      <c r="M878" s="24"/>
      <c r="N878" s="24"/>
      <c r="O878" s="167">
        <v>28600</v>
      </c>
      <c r="P878" s="24" t="s">
        <v>381</v>
      </c>
      <c r="Q878" s="158">
        <v>24.59</v>
      </c>
      <c r="R878" s="163">
        <v>24.59</v>
      </c>
      <c r="S878" t="s">
        <v>433</v>
      </c>
      <c r="T878">
        <f t="shared" si="52"/>
        <v>700815</v>
      </c>
      <c r="U878">
        <f t="shared" si="53"/>
        <v>100</v>
      </c>
      <c r="V878">
        <f t="shared" si="54"/>
        <v>703274</v>
      </c>
      <c r="W878">
        <f t="shared" si="55"/>
        <v>2459</v>
      </c>
    </row>
    <row r="879" spans="1:23" x14ac:dyDescent="0.25">
      <c r="A879" s="204">
        <v>8602260410</v>
      </c>
      <c r="B879" s="204">
        <v>4825035530</v>
      </c>
      <c r="C879" s="154" t="s">
        <v>378</v>
      </c>
      <c r="D879" s="5">
        <v>6234000600</v>
      </c>
      <c r="E879" s="156">
        <v>44664</v>
      </c>
      <c r="F879" s="155">
        <v>28500</v>
      </c>
      <c r="G879" s="4" t="s">
        <v>1</v>
      </c>
      <c r="H879" s="24"/>
      <c r="I879" s="172">
        <v>0</v>
      </c>
      <c r="J879" s="168">
        <v>27.49</v>
      </c>
      <c r="K879" s="24"/>
      <c r="L879" s="24"/>
      <c r="M879" s="24"/>
      <c r="N879" s="24"/>
      <c r="O879" s="167">
        <v>28600</v>
      </c>
      <c r="P879" s="24" t="s">
        <v>381</v>
      </c>
      <c r="Q879" s="158">
        <v>27.49</v>
      </c>
      <c r="R879" s="163">
        <v>27.49</v>
      </c>
      <c r="S879" t="s">
        <v>433</v>
      </c>
      <c r="T879">
        <f t="shared" si="52"/>
        <v>783465</v>
      </c>
      <c r="U879">
        <f t="shared" si="53"/>
        <v>100</v>
      </c>
      <c r="V879">
        <f t="shared" si="54"/>
        <v>786214</v>
      </c>
      <c r="W879">
        <f t="shared" si="55"/>
        <v>2749</v>
      </c>
    </row>
    <row r="880" spans="1:23" x14ac:dyDescent="0.25">
      <c r="A880" s="204">
        <v>8602260410</v>
      </c>
      <c r="B880" s="204">
        <v>4825035530</v>
      </c>
      <c r="C880" s="154" t="s">
        <v>378</v>
      </c>
      <c r="D880" s="5">
        <v>6234000600</v>
      </c>
      <c r="E880" s="156">
        <v>44665</v>
      </c>
      <c r="F880" s="155">
        <v>28500</v>
      </c>
      <c r="G880" s="4" t="s">
        <v>1</v>
      </c>
      <c r="H880" s="24"/>
      <c r="I880" s="172">
        <v>0</v>
      </c>
      <c r="J880" s="168">
        <v>26.97</v>
      </c>
      <c r="K880" s="24"/>
      <c r="L880" s="24"/>
      <c r="M880" s="24"/>
      <c r="N880" s="24"/>
      <c r="O880" s="167">
        <v>28600</v>
      </c>
      <c r="P880" s="24" t="s">
        <v>381</v>
      </c>
      <c r="Q880" s="158">
        <v>26.97</v>
      </c>
      <c r="R880" s="163">
        <v>26.97</v>
      </c>
      <c r="S880" t="s">
        <v>433</v>
      </c>
      <c r="T880">
        <f t="shared" si="52"/>
        <v>768645</v>
      </c>
      <c r="U880">
        <f t="shared" si="53"/>
        <v>100</v>
      </c>
      <c r="V880">
        <f t="shared" si="54"/>
        <v>771342</v>
      </c>
      <c r="W880">
        <f t="shared" si="55"/>
        <v>2697</v>
      </c>
    </row>
    <row r="881" spans="1:23" x14ac:dyDescent="0.25">
      <c r="A881" s="204">
        <v>8602260410</v>
      </c>
      <c r="B881" s="204">
        <v>4825035530</v>
      </c>
      <c r="C881" s="154" t="s">
        <v>378</v>
      </c>
      <c r="D881" s="5">
        <v>6234000600</v>
      </c>
      <c r="E881" s="156">
        <v>44665</v>
      </c>
      <c r="F881" s="155">
        <v>28500</v>
      </c>
      <c r="G881" s="4" t="s">
        <v>1</v>
      </c>
      <c r="H881" s="24"/>
      <c r="I881" s="172">
        <v>0</v>
      </c>
      <c r="J881" s="168">
        <v>23.93</v>
      </c>
      <c r="K881" s="24"/>
      <c r="L881" s="24"/>
      <c r="M881" s="24"/>
      <c r="N881" s="24"/>
      <c r="O881" s="167">
        <v>28600</v>
      </c>
      <c r="P881" s="24" t="s">
        <v>381</v>
      </c>
      <c r="Q881" s="158">
        <v>23.93</v>
      </c>
      <c r="R881" s="163">
        <v>23.93</v>
      </c>
      <c r="S881" t="s">
        <v>433</v>
      </c>
      <c r="T881">
        <f t="shared" si="52"/>
        <v>682005</v>
      </c>
      <c r="U881">
        <f t="shared" si="53"/>
        <v>100</v>
      </c>
      <c r="V881">
        <f t="shared" si="54"/>
        <v>684398</v>
      </c>
      <c r="W881">
        <f t="shared" si="55"/>
        <v>2393</v>
      </c>
    </row>
    <row r="882" spans="1:23" x14ac:dyDescent="0.25">
      <c r="A882" s="204">
        <v>8602260410</v>
      </c>
      <c r="B882" s="204">
        <v>4825035530</v>
      </c>
      <c r="C882" s="19" t="s">
        <v>380</v>
      </c>
      <c r="D882" s="5">
        <v>6234000600</v>
      </c>
      <c r="E882" s="156">
        <v>44665</v>
      </c>
      <c r="F882" s="155">
        <v>28500</v>
      </c>
      <c r="G882" s="4" t="s">
        <v>1</v>
      </c>
      <c r="H882" s="24"/>
      <c r="I882" s="172">
        <v>0</v>
      </c>
      <c r="J882" s="168">
        <v>21.61</v>
      </c>
      <c r="K882" s="24"/>
      <c r="L882" s="24"/>
      <c r="M882" s="24"/>
      <c r="N882" s="24"/>
      <c r="O882" s="167">
        <v>28600</v>
      </c>
      <c r="P882" s="24" t="s">
        <v>381</v>
      </c>
      <c r="Q882" s="158">
        <v>21.61</v>
      </c>
      <c r="R882" s="163">
        <v>21.61</v>
      </c>
      <c r="S882" t="s">
        <v>433</v>
      </c>
      <c r="T882">
        <f t="shared" si="52"/>
        <v>615885</v>
      </c>
      <c r="U882">
        <f t="shared" si="53"/>
        <v>100</v>
      </c>
      <c r="V882">
        <f t="shared" si="54"/>
        <v>618046</v>
      </c>
      <c r="W882">
        <f t="shared" si="55"/>
        <v>2161</v>
      </c>
    </row>
    <row r="883" spans="1:23" x14ac:dyDescent="0.25">
      <c r="A883" s="204">
        <v>8602260410</v>
      </c>
      <c r="B883" s="204">
        <v>4825035530</v>
      </c>
      <c r="C883" s="154" t="s">
        <v>378</v>
      </c>
      <c r="D883" s="5">
        <v>6234000600</v>
      </c>
      <c r="E883" s="156">
        <v>44666</v>
      </c>
      <c r="F883" s="155">
        <v>28500</v>
      </c>
      <c r="G883" s="4" t="s">
        <v>1</v>
      </c>
      <c r="H883" s="24"/>
      <c r="I883" s="172">
        <v>0</v>
      </c>
      <c r="J883" s="168">
        <v>21.65</v>
      </c>
      <c r="K883" s="24"/>
      <c r="L883" s="24"/>
      <c r="M883" s="24"/>
      <c r="N883" s="24"/>
      <c r="O883" s="167">
        <v>28600</v>
      </c>
      <c r="P883" s="24" t="s">
        <v>381</v>
      </c>
      <c r="Q883" s="158">
        <v>21.65</v>
      </c>
      <c r="R883" s="163">
        <v>21.65</v>
      </c>
      <c r="S883" t="s">
        <v>433</v>
      </c>
      <c r="T883">
        <f t="shared" si="52"/>
        <v>617025</v>
      </c>
      <c r="U883">
        <f t="shared" si="53"/>
        <v>100</v>
      </c>
      <c r="V883">
        <f t="shared" si="54"/>
        <v>619190</v>
      </c>
      <c r="W883">
        <f t="shared" si="55"/>
        <v>2165</v>
      </c>
    </row>
    <row r="884" spans="1:23" x14ac:dyDescent="0.25">
      <c r="A884" s="204">
        <v>8602260410</v>
      </c>
      <c r="B884" s="204">
        <v>4825035530</v>
      </c>
      <c r="C884" s="19" t="s">
        <v>380</v>
      </c>
      <c r="D884" s="5">
        <v>6234000600</v>
      </c>
      <c r="E884" s="156">
        <v>44666</v>
      </c>
      <c r="F884" s="155">
        <v>28500</v>
      </c>
      <c r="G884" s="4" t="s">
        <v>1</v>
      </c>
      <c r="H884" s="24"/>
      <c r="I884" s="172">
        <v>0</v>
      </c>
      <c r="J884" s="168">
        <v>26.78</v>
      </c>
      <c r="K884" s="24"/>
      <c r="L884" s="24"/>
      <c r="M884" s="24"/>
      <c r="N884" s="24"/>
      <c r="O884" s="167">
        <v>28600</v>
      </c>
      <c r="P884" s="24" t="s">
        <v>381</v>
      </c>
      <c r="Q884" s="158">
        <v>26.78</v>
      </c>
      <c r="R884" s="163">
        <v>26.78</v>
      </c>
      <c r="S884" t="s">
        <v>433</v>
      </c>
      <c r="T884">
        <f t="shared" si="52"/>
        <v>763230</v>
      </c>
      <c r="U884">
        <f t="shared" si="53"/>
        <v>100</v>
      </c>
      <c r="V884">
        <f t="shared" si="54"/>
        <v>765908</v>
      </c>
      <c r="W884">
        <f t="shared" si="55"/>
        <v>2678</v>
      </c>
    </row>
    <row r="885" spans="1:23" x14ac:dyDescent="0.25">
      <c r="A885" s="204">
        <v>8602260410</v>
      </c>
      <c r="B885" s="204">
        <v>4825035530</v>
      </c>
      <c r="C885" s="154" t="s">
        <v>378</v>
      </c>
      <c r="D885" s="5">
        <v>6234000600</v>
      </c>
      <c r="E885" s="156">
        <v>44666</v>
      </c>
      <c r="F885" s="155">
        <v>28500</v>
      </c>
      <c r="G885" s="4" t="s">
        <v>1</v>
      </c>
      <c r="H885" s="24"/>
      <c r="I885" s="172">
        <v>0</v>
      </c>
      <c r="J885" s="170">
        <v>21.61</v>
      </c>
      <c r="K885" s="24"/>
      <c r="L885" s="24"/>
      <c r="M885" s="24"/>
      <c r="N885" s="24"/>
      <c r="O885" s="167">
        <v>28600</v>
      </c>
      <c r="P885" s="24" t="s">
        <v>381</v>
      </c>
      <c r="Q885" s="160">
        <v>21.61</v>
      </c>
      <c r="R885" s="165">
        <v>21.61</v>
      </c>
      <c r="S885" t="s">
        <v>433</v>
      </c>
      <c r="T885">
        <f t="shared" si="52"/>
        <v>615885</v>
      </c>
      <c r="U885">
        <f t="shared" si="53"/>
        <v>100</v>
      </c>
      <c r="V885">
        <f t="shared" si="54"/>
        <v>618046</v>
      </c>
      <c r="W885">
        <f t="shared" si="55"/>
        <v>2161</v>
      </c>
    </row>
    <row r="886" spans="1:23" x14ac:dyDescent="0.25">
      <c r="A886" s="204">
        <v>8602260410</v>
      </c>
      <c r="B886" s="204">
        <v>4825035530</v>
      </c>
      <c r="C886" s="154" t="s">
        <v>378</v>
      </c>
      <c r="D886" s="5">
        <v>6234000600</v>
      </c>
      <c r="E886" s="156">
        <v>44666</v>
      </c>
      <c r="F886" s="155">
        <v>28500</v>
      </c>
      <c r="G886" s="4" t="s">
        <v>1</v>
      </c>
      <c r="H886" s="24"/>
      <c r="I886" s="172">
        <v>0</v>
      </c>
      <c r="J886" s="170">
        <v>21.66</v>
      </c>
      <c r="K886" s="24"/>
      <c r="L886" s="24"/>
      <c r="M886" s="24"/>
      <c r="N886" s="24"/>
      <c r="O886" s="167">
        <v>28600</v>
      </c>
      <c r="P886" s="24" t="s">
        <v>381</v>
      </c>
      <c r="Q886" s="160">
        <v>21.66</v>
      </c>
      <c r="R886" s="165">
        <v>21.66</v>
      </c>
      <c r="S886" t="s">
        <v>433</v>
      </c>
      <c r="T886">
        <f t="shared" si="52"/>
        <v>617310</v>
      </c>
      <c r="U886">
        <f t="shared" si="53"/>
        <v>100</v>
      </c>
      <c r="V886">
        <f t="shared" si="54"/>
        <v>619476</v>
      </c>
      <c r="W886">
        <f t="shared" si="55"/>
        <v>2166</v>
      </c>
    </row>
    <row r="887" spans="1:23" x14ac:dyDescent="0.25">
      <c r="A887" s="204">
        <v>8602260410</v>
      </c>
      <c r="B887" s="204">
        <v>4825035530</v>
      </c>
      <c r="C887" s="154" t="s">
        <v>378</v>
      </c>
      <c r="D887" s="5">
        <v>6234000600</v>
      </c>
      <c r="E887" s="156">
        <v>44667</v>
      </c>
      <c r="F887" s="155">
        <v>28500</v>
      </c>
      <c r="G887" s="4" t="s">
        <v>1</v>
      </c>
      <c r="H887" s="24"/>
      <c r="I887" s="172">
        <v>0</v>
      </c>
      <c r="J887" s="171">
        <v>26.88</v>
      </c>
      <c r="K887" s="24"/>
      <c r="L887" s="24"/>
      <c r="M887" s="24"/>
      <c r="N887" s="24"/>
      <c r="O887" s="167">
        <v>28600</v>
      </c>
      <c r="P887" s="24" t="s">
        <v>381</v>
      </c>
      <c r="Q887" s="161">
        <v>26.88</v>
      </c>
      <c r="R887" s="166">
        <v>26.88</v>
      </c>
      <c r="S887" t="s">
        <v>433</v>
      </c>
      <c r="T887">
        <f t="shared" si="52"/>
        <v>766080</v>
      </c>
      <c r="U887">
        <f t="shared" si="53"/>
        <v>100</v>
      </c>
      <c r="V887">
        <f t="shared" si="54"/>
        <v>768768</v>
      </c>
      <c r="W887">
        <f t="shared" si="55"/>
        <v>2688</v>
      </c>
    </row>
    <row r="888" spans="1:23" x14ac:dyDescent="0.25">
      <c r="A888" s="204">
        <v>8602260410</v>
      </c>
      <c r="B888" s="204">
        <v>4825035530</v>
      </c>
      <c r="C888" s="154" t="s">
        <v>378</v>
      </c>
      <c r="D888" s="5">
        <v>6234000600</v>
      </c>
      <c r="E888" s="156">
        <v>44667</v>
      </c>
      <c r="F888" s="155">
        <v>28500</v>
      </c>
      <c r="G888" s="4" t="s">
        <v>1</v>
      </c>
      <c r="H888" s="24"/>
      <c r="I888" s="172">
        <v>0</v>
      </c>
      <c r="J888" s="171">
        <v>26.28</v>
      </c>
      <c r="K888" s="24"/>
      <c r="L888" s="24"/>
      <c r="M888" s="24"/>
      <c r="N888" s="24"/>
      <c r="O888" s="167">
        <v>28600</v>
      </c>
      <c r="P888" s="24" t="s">
        <v>381</v>
      </c>
      <c r="Q888" s="161">
        <v>26.28</v>
      </c>
      <c r="R888" s="166">
        <v>26.28</v>
      </c>
      <c r="S888" t="s">
        <v>433</v>
      </c>
      <c r="T888">
        <f t="shared" si="52"/>
        <v>748980</v>
      </c>
      <c r="U888">
        <f t="shared" si="53"/>
        <v>100</v>
      </c>
      <c r="V888">
        <f t="shared" si="54"/>
        <v>751608</v>
      </c>
      <c r="W888">
        <f t="shared" si="55"/>
        <v>2628</v>
      </c>
    </row>
    <row r="889" spans="1:23" x14ac:dyDescent="0.25">
      <c r="A889" s="204">
        <v>8602260410</v>
      </c>
      <c r="B889" s="204">
        <v>4825035530</v>
      </c>
      <c r="C889" s="154" t="s">
        <v>378</v>
      </c>
      <c r="D889" s="5">
        <v>6234000600</v>
      </c>
      <c r="E889" s="156">
        <v>44667</v>
      </c>
      <c r="F889" s="155">
        <v>28500</v>
      </c>
      <c r="G889" s="4" t="s">
        <v>1</v>
      </c>
      <c r="H889" s="24"/>
      <c r="I889" s="172">
        <v>0</v>
      </c>
      <c r="J889" s="171">
        <v>26.32</v>
      </c>
      <c r="K889" s="24"/>
      <c r="L889" s="24"/>
      <c r="M889" s="24"/>
      <c r="N889" s="24"/>
      <c r="O889" s="167">
        <v>28600</v>
      </c>
      <c r="P889" s="24" t="s">
        <v>381</v>
      </c>
      <c r="Q889" s="161">
        <v>26.32</v>
      </c>
      <c r="R889" s="166">
        <v>26.32</v>
      </c>
      <c r="S889" t="s">
        <v>433</v>
      </c>
      <c r="T889">
        <f t="shared" si="52"/>
        <v>750120</v>
      </c>
      <c r="U889">
        <f t="shared" si="53"/>
        <v>100</v>
      </c>
      <c r="V889">
        <f t="shared" si="54"/>
        <v>752752</v>
      </c>
      <c r="W889">
        <f t="shared" si="55"/>
        <v>2632</v>
      </c>
    </row>
    <row r="890" spans="1:23" x14ac:dyDescent="0.25">
      <c r="A890" s="204">
        <v>8602260410</v>
      </c>
      <c r="B890" s="204">
        <v>4825035530</v>
      </c>
      <c r="C890" s="154" t="s">
        <v>378</v>
      </c>
      <c r="D890" s="5">
        <v>6234000600</v>
      </c>
      <c r="E890" s="156">
        <v>44668</v>
      </c>
      <c r="F890" s="155">
        <v>28500</v>
      </c>
      <c r="G890" s="4" t="s">
        <v>1</v>
      </c>
      <c r="H890" s="24"/>
      <c r="I890" s="172">
        <v>0</v>
      </c>
      <c r="J890" s="171">
        <v>27</v>
      </c>
      <c r="K890" s="24"/>
      <c r="L890" s="24"/>
      <c r="M890" s="24"/>
      <c r="N890" s="24"/>
      <c r="O890" s="167">
        <v>28600</v>
      </c>
      <c r="P890" s="24" t="s">
        <v>381</v>
      </c>
      <c r="Q890" s="161">
        <v>27</v>
      </c>
      <c r="R890" s="166">
        <v>27</v>
      </c>
      <c r="S890" t="s">
        <v>433</v>
      </c>
      <c r="T890">
        <f t="shared" si="52"/>
        <v>769500</v>
      </c>
      <c r="U890">
        <f t="shared" si="53"/>
        <v>100</v>
      </c>
      <c r="V890">
        <f t="shared" si="54"/>
        <v>772200</v>
      </c>
      <c r="W890">
        <f t="shared" si="55"/>
        <v>2700</v>
      </c>
    </row>
    <row r="891" spans="1:23" x14ac:dyDescent="0.25">
      <c r="A891" s="204">
        <v>8602260410</v>
      </c>
      <c r="B891" s="204">
        <v>4825035530</v>
      </c>
      <c r="C891" s="154" t="s">
        <v>379</v>
      </c>
      <c r="D891" s="5">
        <v>6234000600</v>
      </c>
      <c r="E891" s="156">
        <v>44668</v>
      </c>
      <c r="F891" s="155">
        <v>28500</v>
      </c>
      <c r="G891" s="4" t="s">
        <v>1</v>
      </c>
      <c r="H891" s="24"/>
      <c r="I891" s="172">
        <v>0</v>
      </c>
      <c r="J891" s="171">
        <v>24.63</v>
      </c>
      <c r="K891" s="24"/>
      <c r="L891" s="24"/>
      <c r="M891" s="24"/>
      <c r="N891" s="24"/>
      <c r="O891" s="167">
        <v>28600</v>
      </c>
      <c r="P891" s="24" t="s">
        <v>381</v>
      </c>
      <c r="Q891" s="161">
        <v>24.63</v>
      </c>
      <c r="R891" s="166">
        <v>24.63</v>
      </c>
      <c r="S891" t="s">
        <v>433</v>
      </c>
      <c r="T891">
        <f t="shared" si="52"/>
        <v>701955</v>
      </c>
      <c r="U891">
        <f t="shared" si="53"/>
        <v>100</v>
      </c>
      <c r="V891">
        <f t="shared" si="54"/>
        <v>704418</v>
      </c>
      <c r="W891">
        <f t="shared" si="55"/>
        <v>2463</v>
      </c>
    </row>
    <row r="892" spans="1:23" x14ac:dyDescent="0.25">
      <c r="A892" s="204">
        <v>8602260410</v>
      </c>
      <c r="B892" s="204">
        <v>4825035530</v>
      </c>
      <c r="C892" s="154" t="s">
        <v>378</v>
      </c>
      <c r="D892" s="5">
        <v>6234000600</v>
      </c>
      <c r="E892" s="156">
        <v>44668</v>
      </c>
      <c r="F892" s="155">
        <v>28500</v>
      </c>
      <c r="G892" s="4" t="s">
        <v>1</v>
      </c>
      <c r="H892" s="24"/>
      <c r="I892" s="172">
        <v>0</v>
      </c>
      <c r="J892" s="170">
        <v>26.65</v>
      </c>
      <c r="K892" s="24"/>
      <c r="L892" s="24"/>
      <c r="M892" s="24"/>
      <c r="N892" s="24"/>
      <c r="O892" s="167">
        <v>28600</v>
      </c>
      <c r="P892" s="24" t="s">
        <v>381</v>
      </c>
      <c r="Q892" s="160">
        <v>26.65</v>
      </c>
      <c r="R892" s="165">
        <v>26.65</v>
      </c>
      <c r="S892" t="s">
        <v>433</v>
      </c>
      <c r="T892">
        <f t="shared" si="52"/>
        <v>759525</v>
      </c>
      <c r="U892">
        <f t="shared" si="53"/>
        <v>100</v>
      </c>
      <c r="V892">
        <f t="shared" si="54"/>
        <v>762190</v>
      </c>
      <c r="W892">
        <f t="shared" si="55"/>
        <v>2665</v>
      </c>
    </row>
    <row r="893" spans="1:23" x14ac:dyDescent="0.25">
      <c r="A893" s="204">
        <v>8602260410</v>
      </c>
      <c r="B893" s="204">
        <v>4825035530</v>
      </c>
      <c r="C893" s="154" t="s">
        <v>378</v>
      </c>
      <c r="D893" s="5">
        <v>6234000600</v>
      </c>
      <c r="E893" s="156">
        <v>44668</v>
      </c>
      <c r="F893" s="155">
        <v>28500</v>
      </c>
      <c r="G893" s="4" t="s">
        <v>1</v>
      </c>
      <c r="H893" s="24"/>
      <c r="I893" s="172">
        <v>0</v>
      </c>
      <c r="J893" s="170">
        <v>25.35</v>
      </c>
      <c r="K893" s="24"/>
      <c r="L893" s="24"/>
      <c r="M893" s="24"/>
      <c r="N893" s="24"/>
      <c r="O893" s="167">
        <v>28600</v>
      </c>
      <c r="P893" s="24" t="s">
        <v>381</v>
      </c>
      <c r="Q893" s="160">
        <v>25.35</v>
      </c>
      <c r="R893" s="165">
        <v>25.35</v>
      </c>
      <c r="S893" t="s">
        <v>433</v>
      </c>
      <c r="T893">
        <f t="shared" si="52"/>
        <v>722475</v>
      </c>
      <c r="U893">
        <f t="shared" si="53"/>
        <v>100</v>
      </c>
      <c r="V893">
        <f t="shared" si="54"/>
        <v>725010</v>
      </c>
      <c r="W893">
        <f t="shared" si="55"/>
        <v>2535</v>
      </c>
    </row>
    <row r="894" spans="1:23" x14ac:dyDescent="0.25">
      <c r="A894" s="204">
        <v>8602260410</v>
      </c>
      <c r="B894" s="204">
        <v>4825035530</v>
      </c>
      <c r="C894" s="19" t="s">
        <v>380</v>
      </c>
      <c r="D894" s="5">
        <v>6234000600</v>
      </c>
      <c r="E894" s="156">
        <v>44668</v>
      </c>
      <c r="F894" s="155">
        <v>28500</v>
      </c>
      <c r="G894" s="4" t="s">
        <v>1</v>
      </c>
      <c r="H894" s="24"/>
      <c r="I894" s="172">
        <v>0</v>
      </c>
      <c r="J894" s="167">
        <v>26.53</v>
      </c>
      <c r="K894" s="24"/>
      <c r="L894" s="24"/>
      <c r="M894" s="24"/>
      <c r="N894" s="24"/>
      <c r="O894" s="167">
        <v>28600</v>
      </c>
      <c r="P894" s="24" t="s">
        <v>381</v>
      </c>
      <c r="Q894" s="157">
        <v>26.53</v>
      </c>
      <c r="R894" s="162">
        <v>26.53</v>
      </c>
      <c r="S894" t="s">
        <v>433</v>
      </c>
      <c r="T894">
        <f t="shared" si="52"/>
        <v>756105</v>
      </c>
      <c r="U894">
        <f t="shared" si="53"/>
        <v>100</v>
      </c>
      <c r="V894">
        <f t="shared" si="54"/>
        <v>758758</v>
      </c>
      <c r="W894">
        <f t="shared" si="55"/>
        <v>2653</v>
      </c>
    </row>
    <row r="895" spans="1:23" x14ac:dyDescent="0.25">
      <c r="A895" s="204">
        <v>8602260410</v>
      </c>
      <c r="B895" s="204">
        <v>4825035530</v>
      </c>
      <c r="C895" s="154" t="s">
        <v>379</v>
      </c>
      <c r="D895" s="5">
        <v>6234000600</v>
      </c>
      <c r="E895" s="156">
        <v>44672</v>
      </c>
      <c r="F895" s="155">
        <v>28500</v>
      </c>
      <c r="G895" s="4" t="s">
        <v>1</v>
      </c>
      <c r="H895" s="24"/>
      <c r="I895" s="172">
        <v>0</v>
      </c>
      <c r="J895" s="167">
        <v>26.44</v>
      </c>
      <c r="K895" s="24"/>
      <c r="L895" s="24"/>
      <c r="M895" s="24"/>
      <c r="N895" s="24"/>
      <c r="O895" s="167">
        <v>28600</v>
      </c>
      <c r="P895" s="24" t="s">
        <v>381</v>
      </c>
      <c r="Q895" s="157">
        <v>26.44</v>
      </c>
      <c r="R895" s="162">
        <v>26.44</v>
      </c>
      <c r="S895" t="s">
        <v>433</v>
      </c>
      <c r="T895">
        <f t="shared" si="52"/>
        <v>753540</v>
      </c>
      <c r="U895">
        <f t="shared" si="53"/>
        <v>100</v>
      </c>
      <c r="V895">
        <f t="shared" si="54"/>
        <v>756184</v>
      </c>
      <c r="W895">
        <f t="shared" si="55"/>
        <v>2644</v>
      </c>
    </row>
    <row r="896" spans="1:23" x14ac:dyDescent="0.25">
      <c r="A896" s="204">
        <v>8602260410</v>
      </c>
      <c r="B896" s="204">
        <v>4825035530</v>
      </c>
      <c r="C896" s="19" t="s">
        <v>380</v>
      </c>
      <c r="D896" s="5">
        <v>6234000600</v>
      </c>
      <c r="E896" s="156">
        <v>44672</v>
      </c>
      <c r="F896" s="155">
        <v>28500</v>
      </c>
      <c r="G896" s="4" t="s">
        <v>1</v>
      </c>
      <c r="H896" s="24"/>
      <c r="I896" s="172">
        <v>0</v>
      </c>
      <c r="J896" s="167">
        <v>26.81</v>
      </c>
      <c r="K896" s="24"/>
      <c r="L896" s="24"/>
      <c r="M896" s="24"/>
      <c r="N896" s="24"/>
      <c r="O896" s="167">
        <v>28600</v>
      </c>
      <c r="P896" s="24" t="s">
        <v>381</v>
      </c>
      <c r="Q896" s="157">
        <v>26.81</v>
      </c>
      <c r="R896" s="162">
        <v>26.81</v>
      </c>
      <c r="S896" t="s">
        <v>433</v>
      </c>
      <c r="T896">
        <f t="shared" si="52"/>
        <v>764085</v>
      </c>
      <c r="U896">
        <f t="shared" si="53"/>
        <v>100</v>
      </c>
      <c r="V896">
        <f t="shared" si="54"/>
        <v>766766</v>
      </c>
      <c r="W896">
        <f t="shared" si="55"/>
        <v>2681</v>
      </c>
    </row>
    <row r="897" spans="1:23" x14ac:dyDescent="0.25">
      <c r="A897" s="204">
        <v>8602260410</v>
      </c>
      <c r="B897" s="204">
        <v>4825035530</v>
      </c>
      <c r="C897" s="19" t="s">
        <v>380</v>
      </c>
      <c r="D897" s="5">
        <v>6234000600</v>
      </c>
      <c r="E897" s="156">
        <v>44673</v>
      </c>
      <c r="F897" s="155">
        <v>28500</v>
      </c>
      <c r="G897" s="4" t="s">
        <v>1</v>
      </c>
      <c r="H897" s="24"/>
      <c r="I897" s="172">
        <v>0</v>
      </c>
      <c r="J897" s="167">
        <v>27.28</v>
      </c>
      <c r="K897" s="24"/>
      <c r="L897" s="24"/>
      <c r="M897" s="24"/>
      <c r="N897" s="24"/>
      <c r="O897" s="167">
        <v>28600</v>
      </c>
      <c r="P897" s="24" t="s">
        <v>381</v>
      </c>
      <c r="Q897" s="157">
        <v>27.28</v>
      </c>
      <c r="R897" s="162">
        <v>27.28</v>
      </c>
      <c r="S897" t="s">
        <v>433</v>
      </c>
      <c r="T897">
        <f t="shared" si="52"/>
        <v>777480</v>
      </c>
      <c r="U897">
        <f t="shared" si="53"/>
        <v>100</v>
      </c>
      <c r="V897">
        <f t="shared" si="54"/>
        <v>780208</v>
      </c>
      <c r="W897">
        <f t="shared" si="55"/>
        <v>2728</v>
      </c>
    </row>
    <row r="898" spans="1:23" x14ac:dyDescent="0.25">
      <c r="A898" s="204">
        <v>7203454549</v>
      </c>
      <c r="B898" s="174">
        <v>7202152305</v>
      </c>
      <c r="C898" s="174" t="s">
        <v>382</v>
      </c>
      <c r="D898" s="5">
        <v>6234000600</v>
      </c>
      <c r="E898" s="173">
        <v>44585</v>
      </c>
      <c r="F898" s="182">
        <v>26500</v>
      </c>
      <c r="G898" s="5" t="s">
        <v>421</v>
      </c>
      <c r="H898" s="204">
        <v>5501208190</v>
      </c>
      <c r="I898" s="181">
        <v>2400</v>
      </c>
      <c r="J898" s="177">
        <v>26.08</v>
      </c>
      <c r="K898" s="3" t="s">
        <v>5</v>
      </c>
      <c r="L898" s="3" t="s">
        <v>22</v>
      </c>
      <c r="M898" s="6"/>
      <c r="N898" s="6"/>
      <c r="O898" s="180">
        <v>29900</v>
      </c>
      <c r="P898" s="6"/>
      <c r="Q898" s="178">
        <v>26.08</v>
      </c>
      <c r="R898" s="179">
        <v>26.08</v>
      </c>
      <c r="S898" t="s">
        <v>433</v>
      </c>
      <c r="T898">
        <f t="shared" si="52"/>
        <v>753712</v>
      </c>
      <c r="U898">
        <f t="shared" si="53"/>
        <v>1000</v>
      </c>
      <c r="V898">
        <f t="shared" si="54"/>
        <v>779792</v>
      </c>
      <c r="W898">
        <f t="shared" si="55"/>
        <v>26080</v>
      </c>
    </row>
    <row r="899" spans="1:23" x14ac:dyDescent="0.25">
      <c r="A899" s="204">
        <v>7203454549</v>
      </c>
      <c r="B899" s="174">
        <v>7202152305</v>
      </c>
      <c r="C899" s="174" t="s">
        <v>382</v>
      </c>
      <c r="D899" s="5">
        <v>6234000600</v>
      </c>
      <c r="E899" s="173">
        <v>44585</v>
      </c>
      <c r="F899" s="182">
        <v>26500</v>
      </c>
      <c r="G899" s="5" t="s">
        <v>421</v>
      </c>
      <c r="H899" s="204">
        <v>5501208190</v>
      </c>
      <c r="I899" s="181">
        <v>2400</v>
      </c>
      <c r="J899" s="177">
        <v>26.68</v>
      </c>
      <c r="K899" s="3" t="s">
        <v>3</v>
      </c>
      <c r="L899" s="3" t="s">
        <v>20</v>
      </c>
      <c r="M899" s="6"/>
      <c r="N899" s="6"/>
      <c r="O899" s="180">
        <v>29900</v>
      </c>
      <c r="P899" s="6"/>
      <c r="Q899" s="178">
        <v>26.68</v>
      </c>
      <c r="R899" s="179">
        <v>26.68</v>
      </c>
      <c r="S899" t="s">
        <v>433</v>
      </c>
      <c r="T899">
        <f t="shared" ref="T899:T962" si="56">(I899+F899)*J899</f>
        <v>771052</v>
      </c>
      <c r="U899">
        <f t="shared" ref="U899:U962" si="57">O899-(F899+I899)</f>
        <v>1000</v>
      </c>
      <c r="V899">
        <f t="shared" ref="V899:V962" si="58">O899*J899</f>
        <v>797732</v>
      </c>
      <c r="W899">
        <f t="shared" ref="W899:W962" si="59">V899-T899</f>
        <v>26680</v>
      </c>
    </row>
    <row r="900" spans="1:23" x14ac:dyDescent="0.25">
      <c r="A900" s="204">
        <v>7203454549</v>
      </c>
      <c r="B900" s="204">
        <v>7202152305</v>
      </c>
      <c r="C900" s="174" t="s">
        <v>382</v>
      </c>
      <c r="D900" s="5">
        <v>6234000600</v>
      </c>
      <c r="E900" s="173">
        <v>44585</v>
      </c>
      <c r="F900" s="182">
        <v>26500</v>
      </c>
      <c r="G900" s="5" t="s">
        <v>421</v>
      </c>
      <c r="H900" s="204">
        <v>5501132737</v>
      </c>
      <c r="I900" s="181">
        <v>2600</v>
      </c>
      <c r="J900" s="177">
        <v>26.2</v>
      </c>
      <c r="K900" s="3" t="s">
        <v>16</v>
      </c>
      <c r="L900" s="3" t="s">
        <v>35</v>
      </c>
      <c r="M900" s="6"/>
      <c r="N900" s="6"/>
      <c r="O900" s="180">
        <v>29900</v>
      </c>
      <c r="P900" s="6"/>
      <c r="Q900" s="178">
        <v>26.2</v>
      </c>
      <c r="R900" s="179">
        <v>26.2</v>
      </c>
      <c r="S900" t="s">
        <v>433</v>
      </c>
      <c r="T900">
        <f t="shared" si="56"/>
        <v>762420</v>
      </c>
      <c r="U900">
        <f t="shared" si="57"/>
        <v>800</v>
      </c>
      <c r="V900">
        <f t="shared" si="58"/>
        <v>783380</v>
      </c>
      <c r="W900">
        <f t="shared" si="59"/>
        <v>20960</v>
      </c>
    </row>
    <row r="901" spans="1:23" x14ac:dyDescent="0.25">
      <c r="A901" s="204">
        <v>7203454549</v>
      </c>
      <c r="B901" s="204">
        <v>7202152305</v>
      </c>
      <c r="C901" s="174" t="s">
        <v>382</v>
      </c>
      <c r="D901" s="5">
        <v>6234000600</v>
      </c>
      <c r="E901" s="173">
        <v>44585</v>
      </c>
      <c r="F901" s="182">
        <v>26100</v>
      </c>
      <c r="G901" s="5" t="s">
        <v>421</v>
      </c>
      <c r="H901" s="204">
        <v>5501132737</v>
      </c>
      <c r="I901" s="181">
        <v>2600</v>
      </c>
      <c r="J901" s="177">
        <v>26.4</v>
      </c>
      <c r="K901" s="3" t="s">
        <v>113</v>
      </c>
      <c r="L901" s="3" t="s">
        <v>129</v>
      </c>
      <c r="M901" s="6"/>
      <c r="N901" s="6"/>
      <c r="O901" s="180">
        <v>29900</v>
      </c>
      <c r="P901" s="6"/>
      <c r="Q901" s="178">
        <v>26.4</v>
      </c>
      <c r="R901" s="179">
        <v>26.4</v>
      </c>
      <c r="S901" t="s">
        <v>433</v>
      </c>
      <c r="T901">
        <f t="shared" si="56"/>
        <v>757680</v>
      </c>
      <c r="U901">
        <f t="shared" si="57"/>
        <v>1200</v>
      </c>
      <c r="V901">
        <f t="shared" si="58"/>
        <v>789360</v>
      </c>
      <c r="W901">
        <f t="shared" si="59"/>
        <v>31680</v>
      </c>
    </row>
    <row r="902" spans="1:23" x14ac:dyDescent="0.25">
      <c r="A902" s="204">
        <v>7203454549</v>
      </c>
      <c r="B902" s="204">
        <v>7202152305</v>
      </c>
      <c r="C902" s="174" t="s">
        <v>382</v>
      </c>
      <c r="D902" s="5">
        <v>6234000600</v>
      </c>
      <c r="E902" s="173">
        <v>44585</v>
      </c>
      <c r="F902" s="182">
        <v>26100</v>
      </c>
      <c r="G902" s="5" t="s">
        <v>421</v>
      </c>
      <c r="H902" s="204">
        <v>5501132737</v>
      </c>
      <c r="I902" s="181">
        <v>2600</v>
      </c>
      <c r="J902" s="177">
        <v>24.38</v>
      </c>
      <c r="K902" s="3" t="s">
        <v>183</v>
      </c>
      <c r="L902" s="3" t="s">
        <v>227</v>
      </c>
      <c r="M902" s="6"/>
      <c r="N902" s="6"/>
      <c r="O902" s="180">
        <v>29900</v>
      </c>
      <c r="P902" s="6"/>
      <c r="Q902" s="178">
        <v>24.38</v>
      </c>
      <c r="R902" s="179">
        <v>24.38</v>
      </c>
      <c r="S902" t="s">
        <v>433</v>
      </c>
      <c r="T902">
        <f t="shared" si="56"/>
        <v>699706</v>
      </c>
      <c r="U902">
        <f t="shared" si="57"/>
        <v>1200</v>
      </c>
      <c r="V902">
        <f t="shared" si="58"/>
        <v>728962</v>
      </c>
      <c r="W902">
        <f t="shared" si="59"/>
        <v>29256</v>
      </c>
    </row>
    <row r="903" spans="1:23" x14ac:dyDescent="0.25">
      <c r="A903" s="204">
        <v>7203454549</v>
      </c>
      <c r="B903" s="204">
        <v>7202152305</v>
      </c>
      <c r="C903" s="174" t="s">
        <v>382</v>
      </c>
      <c r="D903" s="5">
        <v>6234000600</v>
      </c>
      <c r="E903" s="173">
        <v>44587</v>
      </c>
      <c r="F903" s="182">
        <v>26100</v>
      </c>
      <c r="G903" s="5" t="s">
        <v>421</v>
      </c>
      <c r="H903" s="204">
        <v>5501208190</v>
      </c>
      <c r="I903" s="181">
        <v>2400</v>
      </c>
      <c r="J903" s="177">
        <v>26.52</v>
      </c>
      <c r="K903" s="3" t="s">
        <v>3</v>
      </c>
      <c r="L903" s="3" t="s">
        <v>20</v>
      </c>
      <c r="M903" s="6"/>
      <c r="N903" s="6"/>
      <c r="O903" s="180">
        <v>29900</v>
      </c>
      <c r="P903" s="6"/>
      <c r="Q903" s="178">
        <v>26.52</v>
      </c>
      <c r="R903" s="179">
        <v>26.52</v>
      </c>
      <c r="S903" t="s">
        <v>433</v>
      </c>
      <c r="T903">
        <f t="shared" si="56"/>
        <v>755820</v>
      </c>
      <c r="U903">
        <f t="shared" si="57"/>
        <v>1400</v>
      </c>
      <c r="V903">
        <f t="shared" si="58"/>
        <v>792948</v>
      </c>
      <c r="W903">
        <f t="shared" si="59"/>
        <v>37128</v>
      </c>
    </row>
    <row r="904" spans="1:23" x14ac:dyDescent="0.25">
      <c r="A904" s="204">
        <v>7203454549</v>
      </c>
      <c r="B904" s="204">
        <v>7202152305</v>
      </c>
      <c r="C904" s="174" t="s">
        <v>382</v>
      </c>
      <c r="D904" s="5">
        <v>6234000600</v>
      </c>
      <c r="E904" s="173">
        <v>44608</v>
      </c>
      <c r="F904" s="182">
        <v>27100</v>
      </c>
      <c r="G904" s="5" t="s">
        <v>421</v>
      </c>
      <c r="H904" s="204">
        <v>5501132737</v>
      </c>
      <c r="I904" s="181">
        <v>2600</v>
      </c>
      <c r="J904" s="177">
        <v>26.78</v>
      </c>
      <c r="K904" s="3" t="s">
        <v>207</v>
      </c>
      <c r="L904" s="3"/>
      <c r="M904" s="6"/>
      <c r="N904" s="6"/>
      <c r="O904" s="180">
        <v>31000</v>
      </c>
      <c r="P904" s="23" t="s">
        <v>389</v>
      </c>
      <c r="Q904" s="178">
        <v>26.78</v>
      </c>
      <c r="R904" s="179">
        <v>26.78</v>
      </c>
      <c r="S904" t="s">
        <v>433</v>
      </c>
      <c r="T904">
        <f t="shared" si="56"/>
        <v>795366</v>
      </c>
      <c r="U904">
        <f t="shared" si="57"/>
        <v>1300</v>
      </c>
      <c r="V904">
        <f t="shared" si="58"/>
        <v>830180</v>
      </c>
      <c r="W904">
        <f t="shared" si="59"/>
        <v>34814</v>
      </c>
    </row>
    <row r="905" spans="1:23" x14ac:dyDescent="0.25">
      <c r="A905" s="204">
        <v>7203454549</v>
      </c>
      <c r="B905" s="204">
        <v>7202152305</v>
      </c>
      <c r="C905" s="174" t="s">
        <v>382</v>
      </c>
      <c r="D905" s="5">
        <v>6234000600</v>
      </c>
      <c r="E905" s="173">
        <v>44611</v>
      </c>
      <c r="F905" s="182">
        <v>29435</v>
      </c>
      <c r="G905" s="4" t="s">
        <v>1</v>
      </c>
      <c r="H905" s="175"/>
      <c r="I905" s="181">
        <v>0</v>
      </c>
      <c r="J905" s="177">
        <v>23.68</v>
      </c>
      <c r="K905" s="176" t="s">
        <v>383</v>
      </c>
      <c r="L905" s="3" t="s">
        <v>386</v>
      </c>
      <c r="M905" s="6"/>
      <c r="N905" s="6"/>
      <c r="O905" s="180">
        <v>31000</v>
      </c>
      <c r="P905" s="23" t="s">
        <v>389</v>
      </c>
      <c r="Q905" s="178">
        <v>23.68</v>
      </c>
      <c r="R905" s="179">
        <v>23.68</v>
      </c>
      <c r="S905" t="s">
        <v>433</v>
      </c>
      <c r="T905">
        <f t="shared" si="56"/>
        <v>697020.8</v>
      </c>
      <c r="U905">
        <f t="shared" si="57"/>
        <v>1565</v>
      </c>
      <c r="V905">
        <f t="shared" si="58"/>
        <v>734080</v>
      </c>
      <c r="W905">
        <f t="shared" si="59"/>
        <v>37059.199999999953</v>
      </c>
    </row>
    <row r="906" spans="1:23" x14ac:dyDescent="0.25">
      <c r="A906" s="204">
        <v>7203454549</v>
      </c>
      <c r="B906" s="204">
        <v>7202152305</v>
      </c>
      <c r="C906" s="174" t="s">
        <v>382</v>
      </c>
      <c r="D906" s="5">
        <v>6234000600</v>
      </c>
      <c r="E906" s="173">
        <v>44611</v>
      </c>
      <c r="F906" s="182">
        <v>29435</v>
      </c>
      <c r="G906" s="4" t="s">
        <v>1</v>
      </c>
      <c r="H906" s="175"/>
      <c r="I906" s="181">
        <v>0</v>
      </c>
      <c r="J906" s="177">
        <v>23.74</v>
      </c>
      <c r="K906" s="176" t="s">
        <v>384</v>
      </c>
      <c r="L906" s="3" t="s">
        <v>387</v>
      </c>
      <c r="M906" s="6"/>
      <c r="N906" s="6"/>
      <c r="O906" s="180">
        <v>31000</v>
      </c>
      <c r="P906" s="23" t="s">
        <v>389</v>
      </c>
      <c r="Q906" s="178">
        <v>23.74</v>
      </c>
      <c r="R906" s="179">
        <v>23.74</v>
      </c>
      <c r="S906" t="s">
        <v>433</v>
      </c>
      <c r="T906">
        <f t="shared" si="56"/>
        <v>698786.89999999991</v>
      </c>
      <c r="U906">
        <f t="shared" si="57"/>
        <v>1565</v>
      </c>
      <c r="V906">
        <f t="shared" si="58"/>
        <v>735940</v>
      </c>
      <c r="W906">
        <f t="shared" si="59"/>
        <v>37153.100000000093</v>
      </c>
    </row>
    <row r="907" spans="1:23" x14ac:dyDescent="0.25">
      <c r="A907" s="204">
        <v>7203454549</v>
      </c>
      <c r="B907" s="204">
        <v>7202152305</v>
      </c>
      <c r="C907" s="174" t="s">
        <v>382</v>
      </c>
      <c r="D907" s="5">
        <v>6234000600</v>
      </c>
      <c r="E907" s="173">
        <v>44612</v>
      </c>
      <c r="F907" s="182">
        <v>29435</v>
      </c>
      <c r="G907" s="4" t="s">
        <v>1</v>
      </c>
      <c r="H907" s="175"/>
      <c r="I907" s="181">
        <v>0</v>
      </c>
      <c r="J907" s="177">
        <v>23.52</v>
      </c>
      <c r="K907" s="176" t="s">
        <v>15</v>
      </c>
      <c r="L907" s="3" t="s">
        <v>25</v>
      </c>
      <c r="M907" s="6"/>
      <c r="N907" s="6"/>
      <c r="O907" s="180">
        <v>31000</v>
      </c>
      <c r="P907" s="23" t="s">
        <v>389</v>
      </c>
      <c r="Q907" s="178">
        <v>23.52</v>
      </c>
      <c r="R907" s="179">
        <v>23.52</v>
      </c>
      <c r="S907" t="s">
        <v>433</v>
      </c>
      <c r="T907">
        <f t="shared" si="56"/>
        <v>692311.2</v>
      </c>
      <c r="U907">
        <f t="shared" si="57"/>
        <v>1565</v>
      </c>
      <c r="V907">
        <f t="shared" si="58"/>
        <v>729120</v>
      </c>
      <c r="W907">
        <f t="shared" si="59"/>
        <v>36808.800000000047</v>
      </c>
    </row>
    <row r="908" spans="1:23" x14ac:dyDescent="0.25">
      <c r="A908" s="204">
        <v>7203454549</v>
      </c>
      <c r="B908" s="204">
        <v>7202152305</v>
      </c>
      <c r="C908" s="174" t="s">
        <v>382</v>
      </c>
      <c r="D908" s="5">
        <v>6234000600</v>
      </c>
      <c r="E908" s="173">
        <v>44612</v>
      </c>
      <c r="F908" s="182">
        <v>29435</v>
      </c>
      <c r="G908" s="4" t="s">
        <v>1</v>
      </c>
      <c r="H908" s="175"/>
      <c r="I908" s="181">
        <v>0</v>
      </c>
      <c r="J908" s="177">
        <v>26.98</v>
      </c>
      <c r="K908" s="176" t="s">
        <v>385</v>
      </c>
      <c r="L908" s="3" t="s">
        <v>388</v>
      </c>
      <c r="M908" s="6"/>
      <c r="N908" s="6"/>
      <c r="O908" s="180">
        <v>31000</v>
      </c>
      <c r="P908" s="23" t="s">
        <v>389</v>
      </c>
      <c r="Q908" s="178">
        <v>26.98</v>
      </c>
      <c r="R908" s="179">
        <v>26.98</v>
      </c>
      <c r="S908" t="s">
        <v>433</v>
      </c>
      <c r="T908">
        <f t="shared" si="56"/>
        <v>794156.3</v>
      </c>
      <c r="U908">
        <f t="shared" si="57"/>
        <v>1565</v>
      </c>
      <c r="V908">
        <f t="shared" si="58"/>
        <v>836380</v>
      </c>
      <c r="W908">
        <f t="shared" si="59"/>
        <v>42223.699999999953</v>
      </c>
    </row>
    <row r="909" spans="1:23" x14ac:dyDescent="0.25">
      <c r="A909" s="204">
        <v>7203454549</v>
      </c>
      <c r="B909" s="204">
        <v>7202152305</v>
      </c>
      <c r="C909" s="174" t="s">
        <v>382</v>
      </c>
      <c r="D909" s="5">
        <v>6234000600</v>
      </c>
      <c r="E909" s="173">
        <v>44614</v>
      </c>
      <c r="F909" s="182">
        <v>27100</v>
      </c>
      <c r="G909" s="5" t="s">
        <v>421</v>
      </c>
      <c r="H909" s="204">
        <v>5501132737</v>
      </c>
      <c r="I909" s="181">
        <v>2600</v>
      </c>
      <c r="J909" s="177">
        <v>24.64</v>
      </c>
      <c r="K909" s="3" t="s">
        <v>205</v>
      </c>
      <c r="L909" s="3"/>
      <c r="M909" s="6"/>
      <c r="N909" s="6"/>
      <c r="O909" s="180">
        <v>31000</v>
      </c>
      <c r="P909" s="23" t="s">
        <v>389</v>
      </c>
      <c r="Q909" s="178">
        <v>24.64</v>
      </c>
      <c r="R909" s="179">
        <v>24.64</v>
      </c>
      <c r="S909" t="s">
        <v>433</v>
      </c>
      <c r="T909">
        <f t="shared" si="56"/>
        <v>731808</v>
      </c>
      <c r="U909">
        <f t="shared" si="57"/>
        <v>1300</v>
      </c>
      <c r="V909">
        <f t="shared" si="58"/>
        <v>763840</v>
      </c>
      <c r="W909">
        <f t="shared" si="59"/>
        <v>32032</v>
      </c>
    </row>
    <row r="910" spans="1:23" x14ac:dyDescent="0.25">
      <c r="A910" s="204">
        <v>7203454549</v>
      </c>
      <c r="B910" s="187">
        <v>8602034629</v>
      </c>
      <c r="C910" s="187" t="s">
        <v>390</v>
      </c>
      <c r="D910" s="5">
        <v>6234000600</v>
      </c>
      <c r="E910" s="183">
        <v>44594</v>
      </c>
      <c r="F910" s="187">
        <v>26100</v>
      </c>
      <c r="G910" s="5" t="s">
        <v>421</v>
      </c>
      <c r="H910" s="204">
        <v>5506225174</v>
      </c>
      <c r="I910" s="5">
        <v>4500</v>
      </c>
      <c r="J910" s="184">
        <v>26.42</v>
      </c>
      <c r="K910" s="3" t="s">
        <v>117</v>
      </c>
      <c r="L910" s="3" t="s">
        <v>132</v>
      </c>
      <c r="M910" s="6"/>
      <c r="N910" s="6"/>
      <c r="O910" s="188">
        <v>31700</v>
      </c>
      <c r="P910" s="6"/>
      <c r="Q910" s="185">
        <v>26.42</v>
      </c>
      <c r="R910" s="186">
        <v>26.42</v>
      </c>
      <c r="S910" t="s">
        <v>433</v>
      </c>
      <c r="T910">
        <f t="shared" si="56"/>
        <v>808452</v>
      </c>
      <c r="U910">
        <f t="shared" si="57"/>
        <v>1100</v>
      </c>
      <c r="V910">
        <f t="shared" si="58"/>
        <v>837514</v>
      </c>
      <c r="W910">
        <f t="shared" si="59"/>
        <v>29062</v>
      </c>
    </row>
    <row r="911" spans="1:23" x14ac:dyDescent="0.25">
      <c r="A911" s="204">
        <v>7203454549</v>
      </c>
      <c r="B911" s="187">
        <v>8602034629</v>
      </c>
      <c r="C911" s="187" t="s">
        <v>390</v>
      </c>
      <c r="D911" s="5">
        <v>6234000600</v>
      </c>
      <c r="E911" s="183">
        <v>44594</v>
      </c>
      <c r="F911" s="187">
        <v>26100</v>
      </c>
      <c r="G911" s="5" t="s">
        <v>421</v>
      </c>
      <c r="H911" s="204">
        <v>5506225174</v>
      </c>
      <c r="I911" s="5">
        <v>4500</v>
      </c>
      <c r="J911" s="184">
        <v>26.08</v>
      </c>
      <c r="K911" s="3" t="s">
        <v>201</v>
      </c>
      <c r="L911" s="3" t="s">
        <v>393</v>
      </c>
      <c r="M911" s="6"/>
      <c r="N911" s="6"/>
      <c r="O911" s="188">
        <v>31700</v>
      </c>
      <c r="P911" s="6"/>
      <c r="Q911" s="185">
        <v>26.08</v>
      </c>
      <c r="R911" s="186">
        <v>26.08</v>
      </c>
      <c r="S911" t="s">
        <v>433</v>
      </c>
      <c r="T911">
        <f t="shared" si="56"/>
        <v>798048</v>
      </c>
      <c r="U911">
        <f t="shared" si="57"/>
        <v>1100</v>
      </c>
      <c r="V911">
        <f t="shared" si="58"/>
        <v>826736</v>
      </c>
      <c r="W911">
        <f t="shared" si="59"/>
        <v>28688</v>
      </c>
    </row>
    <row r="912" spans="1:23" x14ac:dyDescent="0.25">
      <c r="A912" s="204">
        <v>7203454549</v>
      </c>
      <c r="B912" s="204">
        <v>8602034629</v>
      </c>
      <c r="C912" s="187" t="s">
        <v>390</v>
      </c>
      <c r="D912" s="5">
        <v>6234000600</v>
      </c>
      <c r="E912" s="183">
        <v>44594</v>
      </c>
      <c r="F912" s="187">
        <v>26100</v>
      </c>
      <c r="G912" s="5" t="s">
        <v>421</v>
      </c>
      <c r="H912" s="204">
        <v>5506225174</v>
      </c>
      <c r="I912" s="5">
        <v>4500</v>
      </c>
      <c r="J912" s="184">
        <v>26.32</v>
      </c>
      <c r="K912" s="3" t="s">
        <v>391</v>
      </c>
      <c r="L912" s="3" t="s">
        <v>394</v>
      </c>
      <c r="M912" s="6"/>
      <c r="N912" s="6"/>
      <c r="O912" s="188">
        <v>31700</v>
      </c>
      <c r="P912" s="6"/>
      <c r="Q912" s="185">
        <v>26.32</v>
      </c>
      <c r="R912" s="186">
        <v>26.32</v>
      </c>
      <c r="S912" t="s">
        <v>433</v>
      </c>
      <c r="T912">
        <f t="shared" si="56"/>
        <v>805392</v>
      </c>
      <c r="U912">
        <f t="shared" si="57"/>
        <v>1100</v>
      </c>
      <c r="V912">
        <f t="shared" si="58"/>
        <v>834344</v>
      </c>
      <c r="W912">
        <f t="shared" si="59"/>
        <v>28952</v>
      </c>
    </row>
    <row r="913" spans="1:23" x14ac:dyDescent="0.25">
      <c r="A913" s="204">
        <v>7203454549</v>
      </c>
      <c r="B913" s="204">
        <v>8602034629</v>
      </c>
      <c r="C913" s="187" t="s">
        <v>390</v>
      </c>
      <c r="D913" s="5">
        <v>6234000600</v>
      </c>
      <c r="E913" s="183">
        <v>44594</v>
      </c>
      <c r="F913" s="187">
        <v>26100</v>
      </c>
      <c r="G913" s="5" t="s">
        <v>421</v>
      </c>
      <c r="H913" s="204">
        <v>5506225174</v>
      </c>
      <c r="I913" s="5">
        <v>4500</v>
      </c>
      <c r="J913" s="184">
        <v>26.16</v>
      </c>
      <c r="K913" s="3" t="s">
        <v>93</v>
      </c>
      <c r="L913" s="3" t="s">
        <v>245</v>
      </c>
      <c r="M913" s="6"/>
      <c r="N913" s="6"/>
      <c r="O913" s="188">
        <v>31700</v>
      </c>
      <c r="P913" s="6"/>
      <c r="Q913" s="185">
        <v>26.16</v>
      </c>
      <c r="R913" s="186">
        <v>26.16</v>
      </c>
      <c r="S913" t="s">
        <v>433</v>
      </c>
      <c r="T913">
        <f t="shared" si="56"/>
        <v>800496</v>
      </c>
      <c r="U913">
        <f t="shared" si="57"/>
        <v>1100</v>
      </c>
      <c r="V913">
        <f t="shared" si="58"/>
        <v>829272</v>
      </c>
      <c r="W913">
        <f t="shared" si="59"/>
        <v>28776</v>
      </c>
    </row>
    <row r="914" spans="1:23" x14ac:dyDescent="0.25">
      <c r="A914" s="204">
        <v>7203454549</v>
      </c>
      <c r="B914" s="204">
        <v>8602034629</v>
      </c>
      <c r="C914" s="187" t="s">
        <v>390</v>
      </c>
      <c r="D914" s="5">
        <v>6234000600</v>
      </c>
      <c r="E914" s="183">
        <v>44595</v>
      </c>
      <c r="F914" s="187">
        <v>26100</v>
      </c>
      <c r="G914" s="5" t="s">
        <v>421</v>
      </c>
      <c r="H914" s="204">
        <v>5506225174</v>
      </c>
      <c r="I914" s="5">
        <v>4500</v>
      </c>
      <c r="J914" s="184">
        <v>26.96</v>
      </c>
      <c r="K914" s="3" t="s">
        <v>116</v>
      </c>
      <c r="L914" s="3" t="s">
        <v>131</v>
      </c>
      <c r="M914" s="6"/>
      <c r="N914" s="6"/>
      <c r="O914" s="188">
        <v>31700</v>
      </c>
      <c r="P914" s="6"/>
      <c r="Q914" s="185">
        <v>26.96</v>
      </c>
      <c r="R914" s="186">
        <v>26.96</v>
      </c>
      <c r="S914" t="s">
        <v>433</v>
      </c>
      <c r="T914">
        <f t="shared" si="56"/>
        <v>824976</v>
      </c>
      <c r="U914">
        <f t="shared" si="57"/>
        <v>1100</v>
      </c>
      <c r="V914">
        <f t="shared" si="58"/>
        <v>854632</v>
      </c>
      <c r="W914">
        <f t="shared" si="59"/>
        <v>29656</v>
      </c>
    </row>
    <row r="915" spans="1:23" x14ac:dyDescent="0.25">
      <c r="A915" s="204">
        <v>7203454549</v>
      </c>
      <c r="B915" s="204">
        <v>8602034629</v>
      </c>
      <c r="C915" s="187" t="s">
        <v>390</v>
      </c>
      <c r="D915" s="5">
        <v>6234000600</v>
      </c>
      <c r="E915" s="183">
        <v>44595</v>
      </c>
      <c r="F915" s="187">
        <v>26100</v>
      </c>
      <c r="G915" s="5" t="s">
        <v>421</v>
      </c>
      <c r="H915" s="204">
        <v>5506225174</v>
      </c>
      <c r="I915" s="5">
        <v>4500</v>
      </c>
      <c r="J915" s="184">
        <v>26.3</v>
      </c>
      <c r="K915" s="3" t="s">
        <v>352</v>
      </c>
      <c r="L915" s="3" t="s">
        <v>395</v>
      </c>
      <c r="M915" s="6"/>
      <c r="N915" s="6"/>
      <c r="O915" s="188">
        <v>31700</v>
      </c>
      <c r="P915" s="6"/>
      <c r="Q915" s="185">
        <v>26.3</v>
      </c>
      <c r="R915" s="186">
        <v>26.3</v>
      </c>
      <c r="S915" t="s">
        <v>433</v>
      </c>
      <c r="T915">
        <f t="shared" si="56"/>
        <v>804780</v>
      </c>
      <c r="U915">
        <f t="shared" si="57"/>
        <v>1100</v>
      </c>
      <c r="V915">
        <f t="shared" si="58"/>
        <v>833710</v>
      </c>
      <c r="W915">
        <f t="shared" si="59"/>
        <v>28930</v>
      </c>
    </row>
    <row r="916" spans="1:23" x14ac:dyDescent="0.25">
      <c r="A916" s="204">
        <v>7203454549</v>
      </c>
      <c r="B916" s="204">
        <v>8602034629</v>
      </c>
      <c r="C916" s="187" t="s">
        <v>390</v>
      </c>
      <c r="D916" s="5">
        <v>6234000600</v>
      </c>
      <c r="E916" s="183">
        <v>44595</v>
      </c>
      <c r="F916" s="187">
        <v>26100</v>
      </c>
      <c r="G916" s="5" t="s">
        <v>421</v>
      </c>
      <c r="H916" s="204">
        <v>5506225174</v>
      </c>
      <c r="I916" s="5">
        <v>4500</v>
      </c>
      <c r="J916" s="184">
        <v>25.28</v>
      </c>
      <c r="K916" s="3" t="s">
        <v>392</v>
      </c>
      <c r="L916" s="3" t="s">
        <v>396</v>
      </c>
      <c r="M916" s="6"/>
      <c r="N916" s="6"/>
      <c r="O916" s="188">
        <v>31700</v>
      </c>
      <c r="P916" s="6"/>
      <c r="Q916" s="185">
        <v>25.28</v>
      </c>
      <c r="R916" s="186">
        <v>25.28</v>
      </c>
      <c r="S916" t="s">
        <v>433</v>
      </c>
      <c r="T916">
        <f t="shared" si="56"/>
        <v>773568</v>
      </c>
      <c r="U916">
        <f t="shared" si="57"/>
        <v>1100</v>
      </c>
      <c r="V916">
        <f t="shared" si="58"/>
        <v>801376</v>
      </c>
      <c r="W916">
        <f t="shared" si="59"/>
        <v>27808</v>
      </c>
    </row>
    <row r="917" spans="1:23" x14ac:dyDescent="0.25">
      <c r="A917" s="204">
        <v>7203454549</v>
      </c>
      <c r="B917" s="204">
        <v>8602034629</v>
      </c>
      <c r="C917" s="187" t="s">
        <v>390</v>
      </c>
      <c r="D917" s="5">
        <v>6234000600</v>
      </c>
      <c r="E917" s="183">
        <v>44595</v>
      </c>
      <c r="F917" s="187">
        <v>26100</v>
      </c>
      <c r="G917" s="5" t="s">
        <v>421</v>
      </c>
      <c r="H917" s="204">
        <v>5506225174</v>
      </c>
      <c r="I917" s="5">
        <v>4500</v>
      </c>
      <c r="J917" s="184">
        <v>23.6</v>
      </c>
      <c r="K917" s="3" t="s">
        <v>99</v>
      </c>
      <c r="L917" s="3" t="s">
        <v>37</v>
      </c>
      <c r="M917" s="6"/>
      <c r="N917" s="6"/>
      <c r="O917" s="188">
        <v>31700</v>
      </c>
      <c r="P917" s="6"/>
      <c r="Q917" s="185">
        <v>23.6</v>
      </c>
      <c r="R917" s="186">
        <v>23.6</v>
      </c>
      <c r="S917" t="s">
        <v>433</v>
      </c>
      <c r="T917">
        <f t="shared" si="56"/>
        <v>722160</v>
      </c>
      <c r="U917">
        <f t="shared" si="57"/>
        <v>1100</v>
      </c>
      <c r="V917">
        <f t="shared" si="58"/>
        <v>748120</v>
      </c>
      <c r="W917">
        <f t="shared" si="59"/>
        <v>25960</v>
      </c>
    </row>
    <row r="918" spans="1:23" x14ac:dyDescent="0.25">
      <c r="A918" s="204">
        <v>7203454549</v>
      </c>
      <c r="B918" s="204">
        <v>8602034629</v>
      </c>
      <c r="C918" s="187" t="s">
        <v>390</v>
      </c>
      <c r="D918" s="5">
        <v>6234000600</v>
      </c>
      <c r="E918" s="183">
        <v>44599</v>
      </c>
      <c r="F918" s="187">
        <v>26100</v>
      </c>
      <c r="G918" s="5" t="s">
        <v>421</v>
      </c>
      <c r="H918" s="204">
        <v>5501132737</v>
      </c>
      <c r="I918" s="5">
        <v>4500</v>
      </c>
      <c r="J918" s="184">
        <v>26.38</v>
      </c>
      <c r="K918" s="3" t="s">
        <v>16</v>
      </c>
      <c r="L918" s="3" t="s">
        <v>35</v>
      </c>
      <c r="M918" s="6"/>
      <c r="N918" s="6"/>
      <c r="O918" s="188">
        <v>31700</v>
      </c>
      <c r="P918" s="6"/>
      <c r="Q918" s="185">
        <v>26.38</v>
      </c>
      <c r="R918" s="186">
        <v>26.38</v>
      </c>
      <c r="S918" t="s">
        <v>433</v>
      </c>
      <c r="T918">
        <f t="shared" si="56"/>
        <v>807228</v>
      </c>
      <c r="U918">
        <f t="shared" si="57"/>
        <v>1100</v>
      </c>
      <c r="V918">
        <f t="shared" si="58"/>
        <v>836246</v>
      </c>
      <c r="W918">
        <f t="shared" si="59"/>
        <v>29018</v>
      </c>
    </row>
    <row r="919" spans="1:23" x14ac:dyDescent="0.25">
      <c r="A919" s="204">
        <v>7203454549</v>
      </c>
      <c r="B919" s="204">
        <v>8602034629</v>
      </c>
      <c r="C919" s="187" t="s">
        <v>390</v>
      </c>
      <c r="D919" s="5">
        <v>6234000600</v>
      </c>
      <c r="E919" s="183">
        <v>44599</v>
      </c>
      <c r="F919" s="187">
        <v>26100</v>
      </c>
      <c r="G919" s="5" t="s">
        <v>421</v>
      </c>
      <c r="H919" s="204">
        <v>5501132737</v>
      </c>
      <c r="I919" s="5">
        <v>4500</v>
      </c>
      <c r="J919" s="184">
        <v>26.22</v>
      </c>
      <c r="K919" s="189" t="s">
        <v>184</v>
      </c>
      <c r="L919" s="3" t="s">
        <v>228</v>
      </c>
      <c r="M919" s="6"/>
      <c r="N919" s="6"/>
      <c r="O919" s="188">
        <v>31700</v>
      </c>
      <c r="P919" s="6"/>
      <c r="Q919" s="185">
        <v>26.22</v>
      </c>
      <c r="R919" s="186">
        <v>26.22</v>
      </c>
      <c r="S919" t="s">
        <v>433</v>
      </c>
      <c r="T919">
        <f t="shared" si="56"/>
        <v>802332</v>
      </c>
      <c r="U919">
        <f t="shared" si="57"/>
        <v>1100</v>
      </c>
      <c r="V919">
        <f t="shared" si="58"/>
        <v>831174</v>
      </c>
      <c r="W919">
        <f t="shared" si="59"/>
        <v>28842</v>
      </c>
    </row>
    <row r="920" spans="1:23" x14ac:dyDescent="0.25">
      <c r="A920" s="204">
        <v>7203454549</v>
      </c>
      <c r="B920" s="204">
        <v>8602034629</v>
      </c>
      <c r="C920" s="187" t="s">
        <v>390</v>
      </c>
      <c r="D920" s="5">
        <v>6234000600</v>
      </c>
      <c r="E920" s="183">
        <v>44601</v>
      </c>
      <c r="F920" s="187">
        <v>26100</v>
      </c>
      <c r="G920" s="5" t="s">
        <v>421</v>
      </c>
      <c r="H920" s="204">
        <v>5503182532</v>
      </c>
      <c r="I920" s="5">
        <v>4500</v>
      </c>
      <c r="J920" s="184">
        <v>26.64</v>
      </c>
      <c r="K920" s="3" t="s">
        <v>2</v>
      </c>
      <c r="L920" s="3" t="s">
        <v>19</v>
      </c>
      <c r="M920" s="6"/>
      <c r="N920" s="6"/>
      <c r="O920" s="188">
        <v>31700</v>
      </c>
      <c r="P920" s="6"/>
      <c r="Q920" s="185">
        <v>26.64</v>
      </c>
      <c r="R920" s="186">
        <v>26.64</v>
      </c>
      <c r="S920" t="s">
        <v>433</v>
      </c>
      <c r="T920">
        <f t="shared" si="56"/>
        <v>815184</v>
      </c>
      <c r="U920">
        <f t="shared" si="57"/>
        <v>1100</v>
      </c>
      <c r="V920">
        <f t="shared" si="58"/>
        <v>844488</v>
      </c>
      <c r="W920">
        <f t="shared" si="59"/>
        <v>29304</v>
      </c>
    </row>
    <row r="921" spans="1:23" x14ac:dyDescent="0.25">
      <c r="A921" s="204">
        <v>7203454549</v>
      </c>
      <c r="B921" s="204">
        <v>8602034629</v>
      </c>
      <c r="C921" s="187" t="s">
        <v>390</v>
      </c>
      <c r="D921" s="5">
        <v>6234000600</v>
      </c>
      <c r="E921" s="183">
        <v>44601</v>
      </c>
      <c r="F921" s="187">
        <v>26100</v>
      </c>
      <c r="G921" s="5" t="s">
        <v>421</v>
      </c>
      <c r="H921" s="204">
        <v>5503182532</v>
      </c>
      <c r="I921" s="5">
        <v>4500</v>
      </c>
      <c r="J921" s="184">
        <v>26.18</v>
      </c>
      <c r="K921" s="3" t="s">
        <v>97</v>
      </c>
      <c r="L921" s="3" t="s">
        <v>229</v>
      </c>
      <c r="M921" s="6"/>
      <c r="N921" s="6"/>
      <c r="O921" s="188">
        <v>31700</v>
      </c>
      <c r="P921" s="6"/>
      <c r="Q921" s="185">
        <v>26.18</v>
      </c>
      <c r="R921" s="186">
        <v>26.18</v>
      </c>
      <c r="S921" t="s">
        <v>433</v>
      </c>
      <c r="T921">
        <f t="shared" si="56"/>
        <v>801108</v>
      </c>
      <c r="U921">
        <f t="shared" si="57"/>
        <v>1100</v>
      </c>
      <c r="V921">
        <f t="shared" si="58"/>
        <v>829906</v>
      </c>
      <c r="W921">
        <f t="shared" si="59"/>
        <v>28798</v>
      </c>
    </row>
    <row r="922" spans="1:23" x14ac:dyDescent="0.25">
      <c r="A922" s="204">
        <v>7203454549</v>
      </c>
      <c r="B922" s="204">
        <v>8602034629</v>
      </c>
      <c r="C922" s="187" t="s">
        <v>390</v>
      </c>
      <c r="D922" s="5">
        <v>6234000600</v>
      </c>
      <c r="E922" s="183">
        <v>44602</v>
      </c>
      <c r="F922" s="187">
        <v>26100</v>
      </c>
      <c r="G922" s="5" t="s">
        <v>421</v>
      </c>
      <c r="H922" s="204">
        <v>5506225174</v>
      </c>
      <c r="I922" s="5">
        <v>4500</v>
      </c>
      <c r="J922" s="184">
        <v>26.68</v>
      </c>
      <c r="K922" s="3" t="s">
        <v>106</v>
      </c>
      <c r="L922" s="3" t="s">
        <v>397</v>
      </c>
      <c r="M922" s="6"/>
      <c r="N922" s="6"/>
      <c r="O922" s="188">
        <v>31700</v>
      </c>
      <c r="P922" s="6"/>
      <c r="Q922" s="185">
        <v>26.68</v>
      </c>
      <c r="R922" s="186">
        <v>26.68</v>
      </c>
      <c r="S922" t="s">
        <v>433</v>
      </c>
      <c r="T922">
        <f t="shared" si="56"/>
        <v>816408</v>
      </c>
      <c r="U922">
        <f t="shared" si="57"/>
        <v>1100</v>
      </c>
      <c r="V922">
        <f t="shared" si="58"/>
        <v>845756</v>
      </c>
      <c r="W922">
        <f t="shared" si="59"/>
        <v>29348</v>
      </c>
    </row>
    <row r="923" spans="1:23" x14ac:dyDescent="0.25">
      <c r="A923" s="204">
        <v>7203454549</v>
      </c>
      <c r="B923" s="204">
        <v>8602034629</v>
      </c>
      <c r="C923" s="187" t="s">
        <v>390</v>
      </c>
      <c r="D923" s="5">
        <v>6234000600</v>
      </c>
      <c r="E923" s="183">
        <v>44607</v>
      </c>
      <c r="F923" s="187">
        <v>26500</v>
      </c>
      <c r="G923" s="5" t="s">
        <v>421</v>
      </c>
      <c r="H923" s="204">
        <v>5501132737</v>
      </c>
      <c r="I923" s="5">
        <v>4500</v>
      </c>
      <c r="J923" s="184">
        <v>26.2</v>
      </c>
      <c r="K923" s="3" t="s">
        <v>114</v>
      </c>
      <c r="L923" s="3" t="s">
        <v>130</v>
      </c>
      <c r="M923" s="6"/>
      <c r="N923" s="6"/>
      <c r="O923" s="188">
        <v>31700</v>
      </c>
      <c r="P923" s="6"/>
      <c r="Q923" s="185">
        <v>26.2</v>
      </c>
      <c r="R923" s="186">
        <v>26.2</v>
      </c>
      <c r="S923" t="s">
        <v>433</v>
      </c>
      <c r="T923">
        <f t="shared" si="56"/>
        <v>812200</v>
      </c>
      <c r="U923">
        <f t="shared" si="57"/>
        <v>700</v>
      </c>
      <c r="V923">
        <f t="shared" si="58"/>
        <v>830540</v>
      </c>
      <c r="W923">
        <f t="shared" si="59"/>
        <v>18340</v>
      </c>
    </row>
    <row r="924" spans="1:23" x14ac:dyDescent="0.25">
      <c r="A924" s="204">
        <v>7203454549</v>
      </c>
      <c r="B924" s="204">
        <v>8602034629</v>
      </c>
      <c r="C924" s="187" t="s">
        <v>390</v>
      </c>
      <c r="D924" s="5">
        <v>6234000600</v>
      </c>
      <c r="E924" s="183">
        <v>44607</v>
      </c>
      <c r="F924" s="187">
        <v>26500</v>
      </c>
      <c r="G924" s="5" t="s">
        <v>421</v>
      </c>
      <c r="H924" s="204">
        <v>5501132737</v>
      </c>
      <c r="I924" s="5">
        <v>4500</v>
      </c>
      <c r="J924" s="184">
        <v>26.54</v>
      </c>
      <c r="K924" s="3" t="s">
        <v>17</v>
      </c>
      <c r="L924" s="3" t="s">
        <v>36</v>
      </c>
      <c r="M924" s="6"/>
      <c r="N924" s="6"/>
      <c r="O924" s="188">
        <v>31700</v>
      </c>
      <c r="P924" s="6"/>
      <c r="Q924" s="185">
        <v>26.54</v>
      </c>
      <c r="R924" s="186">
        <v>26.54</v>
      </c>
      <c r="S924" t="s">
        <v>433</v>
      </c>
      <c r="T924">
        <f t="shared" si="56"/>
        <v>822740</v>
      </c>
      <c r="U924">
        <f t="shared" si="57"/>
        <v>700</v>
      </c>
      <c r="V924">
        <f t="shared" si="58"/>
        <v>841318</v>
      </c>
      <c r="W924">
        <f t="shared" si="59"/>
        <v>18578</v>
      </c>
    </row>
    <row r="925" spans="1:23" x14ac:dyDescent="0.25">
      <c r="A925" s="204">
        <v>7203454549</v>
      </c>
      <c r="B925" s="194">
        <v>7206045128</v>
      </c>
      <c r="C925" s="194" t="s">
        <v>398</v>
      </c>
      <c r="D925" s="5">
        <v>6234000600</v>
      </c>
      <c r="E925" s="193">
        <v>44599</v>
      </c>
      <c r="F925" s="4">
        <v>26100</v>
      </c>
      <c r="G925" s="5" t="s">
        <v>421</v>
      </c>
      <c r="H925" s="204">
        <v>5503182532</v>
      </c>
      <c r="I925" s="4">
        <v>2500</v>
      </c>
      <c r="J925" s="192">
        <v>26.4</v>
      </c>
      <c r="K925" s="3" t="s">
        <v>2</v>
      </c>
      <c r="L925" s="3" t="s">
        <v>19</v>
      </c>
      <c r="M925" s="17"/>
      <c r="N925" s="17"/>
      <c r="O925" s="192">
        <v>29200</v>
      </c>
      <c r="P925" s="17"/>
      <c r="Q925" s="190">
        <v>26.4</v>
      </c>
      <c r="R925" s="191">
        <v>26.4</v>
      </c>
      <c r="S925" t="s">
        <v>433</v>
      </c>
      <c r="T925">
        <f t="shared" si="56"/>
        <v>755040</v>
      </c>
      <c r="U925">
        <f t="shared" si="57"/>
        <v>600</v>
      </c>
      <c r="V925">
        <f t="shared" si="58"/>
        <v>770880</v>
      </c>
      <c r="W925">
        <f t="shared" si="59"/>
        <v>15840</v>
      </c>
    </row>
    <row r="926" spans="1:23" x14ac:dyDescent="0.25">
      <c r="A926" s="204">
        <v>7203454549</v>
      </c>
      <c r="B926" s="194">
        <v>7206045128</v>
      </c>
      <c r="C926" s="194" t="s">
        <v>398</v>
      </c>
      <c r="D926" s="5">
        <v>6234000600</v>
      </c>
      <c r="E926" s="193">
        <v>44599</v>
      </c>
      <c r="F926" s="4">
        <v>26100</v>
      </c>
      <c r="G926" s="5" t="s">
        <v>421</v>
      </c>
      <c r="H926" s="204">
        <v>5503182532</v>
      </c>
      <c r="I926" s="4">
        <v>2500</v>
      </c>
      <c r="J926" s="192">
        <v>26.46</v>
      </c>
      <c r="K926" s="3" t="s">
        <v>97</v>
      </c>
      <c r="L926" s="3" t="s">
        <v>229</v>
      </c>
      <c r="M926" s="17"/>
      <c r="N926" s="17"/>
      <c r="O926" s="192">
        <v>29200</v>
      </c>
      <c r="P926" s="17"/>
      <c r="Q926" s="190">
        <v>26.46</v>
      </c>
      <c r="R926" s="191">
        <v>26.46</v>
      </c>
      <c r="S926" t="s">
        <v>433</v>
      </c>
      <c r="T926">
        <f t="shared" si="56"/>
        <v>756756</v>
      </c>
      <c r="U926">
        <f t="shared" si="57"/>
        <v>600</v>
      </c>
      <c r="V926">
        <f t="shared" si="58"/>
        <v>772632</v>
      </c>
      <c r="W926">
        <f t="shared" si="59"/>
        <v>15876</v>
      </c>
    </row>
    <row r="927" spans="1:23" x14ac:dyDescent="0.25">
      <c r="A927" s="204">
        <v>7203454549</v>
      </c>
      <c r="B927" s="204">
        <v>7206045128</v>
      </c>
      <c r="C927" s="194" t="s">
        <v>398</v>
      </c>
      <c r="D927" s="5">
        <v>6234000600</v>
      </c>
      <c r="E927" s="193">
        <v>44600</v>
      </c>
      <c r="F927" s="4">
        <v>26100</v>
      </c>
      <c r="G927" s="5" t="s">
        <v>421</v>
      </c>
      <c r="H927" s="204">
        <v>5506225174</v>
      </c>
      <c r="I927" s="4">
        <v>2500</v>
      </c>
      <c r="J927" s="192">
        <v>26.72</v>
      </c>
      <c r="K927" s="3" t="s">
        <v>346</v>
      </c>
      <c r="L927" s="3"/>
      <c r="M927" s="17"/>
      <c r="N927" s="17"/>
      <c r="O927" s="192">
        <v>29200</v>
      </c>
      <c r="P927" s="17"/>
      <c r="Q927" s="190">
        <v>26.72</v>
      </c>
      <c r="R927" s="191">
        <v>26.72</v>
      </c>
      <c r="S927" t="s">
        <v>433</v>
      </c>
      <c r="T927">
        <f t="shared" si="56"/>
        <v>764192</v>
      </c>
      <c r="U927">
        <f t="shared" si="57"/>
        <v>600</v>
      </c>
      <c r="V927">
        <f t="shared" si="58"/>
        <v>780224</v>
      </c>
      <c r="W927">
        <f t="shared" si="59"/>
        <v>16032</v>
      </c>
    </row>
    <row r="928" spans="1:23" x14ac:dyDescent="0.25">
      <c r="A928" s="204">
        <v>7203454549</v>
      </c>
      <c r="B928" s="204">
        <v>7206045128</v>
      </c>
      <c r="C928" s="194" t="s">
        <v>398</v>
      </c>
      <c r="D928" s="5">
        <v>6234000600</v>
      </c>
      <c r="E928" s="193">
        <v>44600</v>
      </c>
      <c r="F928" s="4">
        <v>26100</v>
      </c>
      <c r="G928" s="5" t="s">
        <v>421</v>
      </c>
      <c r="H928" s="204">
        <v>5506225174</v>
      </c>
      <c r="I928" s="4">
        <v>2500</v>
      </c>
      <c r="J928" s="192">
        <v>26.44</v>
      </c>
      <c r="K928" s="3" t="s">
        <v>399</v>
      </c>
      <c r="L928" s="3"/>
      <c r="M928" s="17"/>
      <c r="N928" s="17"/>
      <c r="O928" s="192">
        <v>29200</v>
      </c>
      <c r="P928" s="17"/>
      <c r="Q928" s="190">
        <v>26.44</v>
      </c>
      <c r="R928" s="191">
        <v>26.44</v>
      </c>
      <c r="S928" t="s">
        <v>433</v>
      </c>
      <c r="T928">
        <f t="shared" si="56"/>
        <v>756184</v>
      </c>
      <c r="U928">
        <f t="shared" si="57"/>
        <v>600</v>
      </c>
      <c r="V928">
        <f t="shared" si="58"/>
        <v>772048</v>
      </c>
      <c r="W928">
        <f t="shared" si="59"/>
        <v>15864</v>
      </c>
    </row>
    <row r="929" spans="1:23" x14ac:dyDescent="0.25">
      <c r="A929" s="204">
        <v>7203454549</v>
      </c>
      <c r="B929" s="204">
        <v>7206045128</v>
      </c>
      <c r="C929" s="194" t="s">
        <v>398</v>
      </c>
      <c r="D929" s="5">
        <v>6234000600</v>
      </c>
      <c r="E929" s="193">
        <v>44600</v>
      </c>
      <c r="F929" s="4">
        <v>26100</v>
      </c>
      <c r="G929" s="5" t="s">
        <v>421</v>
      </c>
      <c r="H929" s="204">
        <v>5506225174</v>
      </c>
      <c r="I929" s="4">
        <v>2500</v>
      </c>
      <c r="J929" s="192">
        <v>26.8</v>
      </c>
      <c r="K929" s="3" t="s">
        <v>400</v>
      </c>
      <c r="L929" s="3"/>
      <c r="M929" s="17"/>
      <c r="N929" s="17"/>
      <c r="O929" s="192">
        <v>29200</v>
      </c>
      <c r="P929" s="17"/>
      <c r="Q929" s="190">
        <v>26.8</v>
      </c>
      <c r="R929" s="191">
        <v>26.8</v>
      </c>
      <c r="S929" t="s">
        <v>433</v>
      </c>
      <c r="T929">
        <f t="shared" si="56"/>
        <v>766480</v>
      </c>
      <c r="U929">
        <f t="shared" si="57"/>
        <v>600</v>
      </c>
      <c r="V929">
        <f t="shared" si="58"/>
        <v>782560</v>
      </c>
      <c r="W929">
        <f t="shared" si="59"/>
        <v>16080</v>
      </c>
    </row>
    <row r="930" spans="1:23" x14ac:dyDescent="0.25">
      <c r="A930" s="204">
        <v>7203454549</v>
      </c>
      <c r="B930" s="204">
        <v>7206045128</v>
      </c>
      <c r="C930" s="194" t="s">
        <v>398</v>
      </c>
      <c r="D930" s="5">
        <v>6234000600</v>
      </c>
      <c r="E930" s="193">
        <v>44601</v>
      </c>
      <c r="F930" s="4">
        <v>26100</v>
      </c>
      <c r="G930" s="4" t="s">
        <v>421</v>
      </c>
      <c r="H930" s="204">
        <v>5506225174</v>
      </c>
      <c r="I930" s="4">
        <v>2500</v>
      </c>
      <c r="J930" s="192">
        <v>26.76</v>
      </c>
      <c r="K930" s="3" t="s">
        <v>401</v>
      </c>
      <c r="L930" s="3" t="s">
        <v>402</v>
      </c>
      <c r="M930" s="17"/>
      <c r="N930" s="17"/>
      <c r="O930" s="192">
        <v>29200</v>
      </c>
      <c r="P930" s="17"/>
      <c r="Q930" s="190">
        <v>26.76</v>
      </c>
      <c r="R930" s="191">
        <v>26.76</v>
      </c>
      <c r="S930" t="s">
        <v>433</v>
      </c>
      <c r="T930">
        <f t="shared" si="56"/>
        <v>765336</v>
      </c>
      <c r="U930">
        <f t="shared" si="57"/>
        <v>600</v>
      </c>
      <c r="V930">
        <f t="shared" si="58"/>
        <v>781392</v>
      </c>
      <c r="W930">
        <f t="shared" si="59"/>
        <v>16056</v>
      </c>
    </row>
    <row r="931" spans="1:23" x14ac:dyDescent="0.25">
      <c r="A931" s="204">
        <v>7203454549</v>
      </c>
      <c r="B931" s="196">
        <v>5638056229</v>
      </c>
      <c r="C931" s="196" t="s">
        <v>403</v>
      </c>
      <c r="D931" s="5">
        <v>6234000600</v>
      </c>
      <c r="E931" s="195">
        <v>44594</v>
      </c>
      <c r="F931" s="200">
        <v>26100</v>
      </c>
      <c r="G931" s="4" t="s">
        <v>421</v>
      </c>
      <c r="H931" s="204">
        <v>5501132737</v>
      </c>
      <c r="I931" s="199">
        <v>3700</v>
      </c>
      <c r="J931" s="201">
        <v>25.26</v>
      </c>
      <c r="K931" s="197" t="s">
        <v>199</v>
      </c>
      <c r="L931" s="3" t="s">
        <v>242</v>
      </c>
      <c r="M931" s="6"/>
      <c r="N931" s="6"/>
      <c r="O931" s="198">
        <v>30825</v>
      </c>
      <c r="P931" s="6"/>
      <c r="Q931" s="202">
        <v>25.26</v>
      </c>
      <c r="R931" s="204">
        <v>25.26</v>
      </c>
      <c r="S931" t="s">
        <v>433</v>
      </c>
      <c r="T931">
        <f t="shared" si="56"/>
        <v>752748</v>
      </c>
      <c r="U931">
        <f t="shared" si="57"/>
        <v>1025</v>
      </c>
      <c r="V931">
        <f t="shared" si="58"/>
        <v>778639.5</v>
      </c>
      <c r="W931">
        <f t="shared" si="59"/>
        <v>25891.5</v>
      </c>
    </row>
    <row r="932" spans="1:23" x14ac:dyDescent="0.25">
      <c r="A932" s="204">
        <v>7203454549</v>
      </c>
      <c r="B932" s="196">
        <v>5638056229</v>
      </c>
      <c r="C932" s="196" t="s">
        <v>403</v>
      </c>
      <c r="D932" s="5">
        <v>6234000600</v>
      </c>
      <c r="E932" s="195">
        <v>44594</v>
      </c>
      <c r="F932" s="200">
        <v>26100</v>
      </c>
      <c r="G932" s="4" t="s">
        <v>421</v>
      </c>
      <c r="H932" s="204">
        <v>5501132737</v>
      </c>
      <c r="I932" s="199">
        <v>3700</v>
      </c>
      <c r="J932" s="201">
        <v>26.2</v>
      </c>
      <c r="K932" s="197" t="s">
        <v>188</v>
      </c>
      <c r="L932" s="3" t="s">
        <v>233</v>
      </c>
      <c r="M932" s="6"/>
      <c r="N932" s="6"/>
      <c r="O932" s="198">
        <v>30825</v>
      </c>
      <c r="P932" s="6"/>
      <c r="Q932" s="202">
        <v>26.2</v>
      </c>
      <c r="R932" s="204">
        <v>26.2</v>
      </c>
      <c r="S932" t="s">
        <v>433</v>
      </c>
      <c r="T932">
        <f t="shared" si="56"/>
        <v>780760</v>
      </c>
      <c r="U932">
        <f t="shared" si="57"/>
        <v>1025</v>
      </c>
      <c r="V932">
        <f t="shared" si="58"/>
        <v>807615</v>
      </c>
      <c r="W932">
        <f t="shared" si="59"/>
        <v>26855</v>
      </c>
    </row>
    <row r="933" spans="1:23" x14ac:dyDescent="0.25">
      <c r="A933" s="204">
        <v>7203454549</v>
      </c>
      <c r="B933" s="204">
        <v>5638056229</v>
      </c>
      <c r="C933" s="196" t="s">
        <v>403</v>
      </c>
      <c r="D933" s="5">
        <v>6234000600</v>
      </c>
      <c r="E933" s="195">
        <v>44594</v>
      </c>
      <c r="F933" s="200">
        <v>26100</v>
      </c>
      <c r="G933" s="4" t="s">
        <v>421</v>
      </c>
      <c r="H933" s="204">
        <v>5501132737</v>
      </c>
      <c r="I933" s="199">
        <v>3700</v>
      </c>
      <c r="J933" s="201">
        <v>26.24</v>
      </c>
      <c r="K933" s="197" t="s">
        <v>404</v>
      </c>
      <c r="L933" s="3" t="s">
        <v>407</v>
      </c>
      <c r="M933" s="6"/>
      <c r="N933" s="6"/>
      <c r="O933" s="198">
        <v>30825</v>
      </c>
      <c r="P933" s="6"/>
      <c r="Q933" s="202">
        <v>26.24</v>
      </c>
      <c r="R933" s="204">
        <v>26.24</v>
      </c>
      <c r="S933" t="s">
        <v>433</v>
      </c>
      <c r="T933">
        <f t="shared" si="56"/>
        <v>781952</v>
      </c>
      <c r="U933">
        <f t="shared" si="57"/>
        <v>1025</v>
      </c>
      <c r="V933">
        <f t="shared" si="58"/>
        <v>808848</v>
      </c>
      <c r="W933">
        <f t="shared" si="59"/>
        <v>26896</v>
      </c>
    </row>
    <row r="934" spans="1:23" x14ac:dyDescent="0.25">
      <c r="A934" s="204">
        <v>7203454549</v>
      </c>
      <c r="B934" s="204">
        <v>5638056229</v>
      </c>
      <c r="C934" s="196" t="s">
        <v>403</v>
      </c>
      <c r="D934" s="5">
        <v>6234000600</v>
      </c>
      <c r="E934" s="195">
        <v>44594</v>
      </c>
      <c r="F934" s="200">
        <v>26100</v>
      </c>
      <c r="G934" s="4" t="s">
        <v>421</v>
      </c>
      <c r="H934" s="204">
        <v>5507259666</v>
      </c>
      <c r="I934" s="199">
        <v>3700</v>
      </c>
      <c r="J934" s="201">
        <v>26.32</v>
      </c>
      <c r="K934" s="197" t="s">
        <v>107</v>
      </c>
      <c r="L934" s="3" t="s">
        <v>125</v>
      </c>
      <c r="M934" s="6"/>
      <c r="N934" s="6"/>
      <c r="O934" s="198">
        <v>30825</v>
      </c>
      <c r="P934" s="6"/>
      <c r="Q934" s="202">
        <v>26.32</v>
      </c>
      <c r="R934" s="204">
        <v>26.32</v>
      </c>
      <c r="S934" t="s">
        <v>433</v>
      </c>
      <c r="T934">
        <f t="shared" si="56"/>
        <v>784336</v>
      </c>
      <c r="U934">
        <f t="shared" si="57"/>
        <v>1025</v>
      </c>
      <c r="V934">
        <f t="shared" si="58"/>
        <v>811314</v>
      </c>
      <c r="W934">
        <f t="shared" si="59"/>
        <v>26978</v>
      </c>
    </row>
    <row r="935" spans="1:23" x14ac:dyDescent="0.25">
      <c r="A935" s="204">
        <v>7203454549</v>
      </c>
      <c r="B935" s="204">
        <v>5638056229</v>
      </c>
      <c r="C935" s="196" t="s">
        <v>403</v>
      </c>
      <c r="D935" s="5">
        <v>6234000600</v>
      </c>
      <c r="E935" s="195">
        <v>44597</v>
      </c>
      <c r="F935" s="200">
        <v>26500</v>
      </c>
      <c r="G935" s="4" t="s">
        <v>421</v>
      </c>
      <c r="H935" s="204">
        <v>5501208190</v>
      </c>
      <c r="I935" s="199">
        <v>3700</v>
      </c>
      <c r="J935" s="201">
        <v>26.64</v>
      </c>
      <c r="K935" s="3" t="s">
        <v>5</v>
      </c>
      <c r="L935" s="3" t="s">
        <v>22</v>
      </c>
      <c r="M935" s="6"/>
      <c r="N935" s="6"/>
      <c r="O935" s="198">
        <v>30825</v>
      </c>
      <c r="P935" s="6"/>
      <c r="Q935" s="202">
        <v>26.64</v>
      </c>
      <c r="R935" s="204">
        <v>26.64</v>
      </c>
      <c r="S935" t="s">
        <v>433</v>
      </c>
      <c r="T935">
        <f t="shared" si="56"/>
        <v>804528</v>
      </c>
      <c r="U935">
        <f t="shared" si="57"/>
        <v>625</v>
      </c>
      <c r="V935">
        <f t="shared" si="58"/>
        <v>821178</v>
      </c>
      <c r="W935">
        <f t="shared" si="59"/>
        <v>16650</v>
      </c>
    </row>
    <row r="936" spans="1:23" x14ac:dyDescent="0.25">
      <c r="A936" s="204">
        <v>7203454549</v>
      </c>
      <c r="B936" s="204">
        <v>5638056229</v>
      </c>
      <c r="C936" s="196" t="s">
        <v>403</v>
      </c>
      <c r="D936" s="5">
        <v>6234000600</v>
      </c>
      <c r="E936" s="195">
        <v>44597</v>
      </c>
      <c r="F936" s="200">
        <v>26500</v>
      </c>
      <c r="G936" s="4" t="s">
        <v>421</v>
      </c>
      <c r="H936" s="204">
        <v>5501208190</v>
      </c>
      <c r="I936" s="199">
        <v>3700</v>
      </c>
      <c r="J936" s="201">
        <v>26.58</v>
      </c>
      <c r="K936" s="3" t="s">
        <v>3</v>
      </c>
      <c r="L936" s="3" t="s">
        <v>20</v>
      </c>
      <c r="M936" s="6"/>
      <c r="N936" s="6"/>
      <c r="O936" s="198">
        <v>30825</v>
      </c>
      <c r="P936" s="6"/>
      <c r="Q936" s="202">
        <v>26.58</v>
      </c>
      <c r="R936" s="204">
        <v>26.58</v>
      </c>
      <c r="S936" t="s">
        <v>433</v>
      </c>
      <c r="T936">
        <f t="shared" si="56"/>
        <v>802716</v>
      </c>
      <c r="U936">
        <f t="shared" si="57"/>
        <v>625</v>
      </c>
      <c r="V936">
        <f t="shared" si="58"/>
        <v>819328.5</v>
      </c>
      <c r="W936">
        <f t="shared" si="59"/>
        <v>16612.5</v>
      </c>
    </row>
    <row r="937" spans="1:23" x14ac:dyDescent="0.25">
      <c r="A937" s="204">
        <v>7203454549</v>
      </c>
      <c r="B937" s="204">
        <v>5638056229</v>
      </c>
      <c r="C937" s="196" t="s">
        <v>403</v>
      </c>
      <c r="D937" s="5">
        <v>6234000600</v>
      </c>
      <c r="E937" s="195">
        <v>44597</v>
      </c>
      <c r="F937" s="200">
        <v>26500</v>
      </c>
      <c r="G937" s="4" t="s">
        <v>421</v>
      </c>
      <c r="H937" s="204">
        <v>5501132737</v>
      </c>
      <c r="I937" s="199">
        <v>3700</v>
      </c>
      <c r="J937" s="201">
        <v>26.1</v>
      </c>
      <c r="K937" s="3" t="s">
        <v>114</v>
      </c>
      <c r="L937" s="3" t="s">
        <v>130</v>
      </c>
      <c r="M937" s="6"/>
      <c r="N937" s="6"/>
      <c r="O937" s="198">
        <v>30825</v>
      </c>
      <c r="P937" s="6"/>
      <c r="Q937" s="202">
        <v>26.1</v>
      </c>
      <c r="R937" s="204">
        <v>26.1</v>
      </c>
      <c r="S937" t="s">
        <v>433</v>
      </c>
      <c r="T937">
        <f t="shared" si="56"/>
        <v>788220</v>
      </c>
      <c r="U937">
        <f t="shared" si="57"/>
        <v>625</v>
      </c>
      <c r="V937">
        <f t="shared" si="58"/>
        <v>804532.5</v>
      </c>
      <c r="W937">
        <f t="shared" si="59"/>
        <v>16312.5</v>
      </c>
    </row>
    <row r="938" spans="1:23" x14ac:dyDescent="0.25">
      <c r="A938" s="204">
        <v>7203454549</v>
      </c>
      <c r="B938" s="204">
        <v>5638056229</v>
      </c>
      <c r="C938" s="196" t="s">
        <v>403</v>
      </c>
      <c r="D938" s="5">
        <v>6234000600</v>
      </c>
      <c r="E938" s="195">
        <v>44597</v>
      </c>
      <c r="F938" s="200">
        <v>26500</v>
      </c>
      <c r="G938" s="4" t="s">
        <v>421</v>
      </c>
      <c r="H938" s="204">
        <v>5501132737</v>
      </c>
      <c r="I938" s="199">
        <v>3700</v>
      </c>
      <c r="J938" s="201">
        <v>26.6</v>
      </c>
      <c r="K938" s="197" t="s">
        <v>404</v>
      </c>
      <c r="L938" s="3" t="s">
        <v>407</v>
      </c>
      <c r="M938" s="6"/>
      <c r="N938" s="6"/>
      <c r="O938" s="198">
        <v>30825</v>
      </c>
      <c r="P938" s="6"/>
      <c r="Q938" s="202">
        <v>26.6</v>
      </c>
      <c r="R938" s="204">
        <v>26.6</v>
      </c>
      <c r="S938" t="s">
        <v>433</v>
      </c>
      <c r="T938">
        <f t="shared" si="56"/>
        <v>803320</v>
      </c>
      <c r="U938">
        <f t="shared" si="57"/>
        <v>625</v>
      </c>
      <c r="V938">
        <f t="shared" si="58"/>
        <v>819945</v>
      </c>
      <c r="W938">
        <f t="shared" si="59"/>
        <v>16625</v>
      </c>
    </row>
    <row r="939" spans="1:23" x14ac:dyDescent="0.25">
      <c r="A939" s="204">
        <v>7203454549</v>
      </c>
      <c r="B939" s="204">
        <v>5638056229</v>
      </c>
      <c r="C939" s="196" t="s">
        <v>403</v>
      </c>
      <c r="D939" s="5">
        <v>6234000600</v>
      </c>
      <c r="E939" s="195">
        <v>44598</v>
      </c>
      <c r="F939" s="200">
        <v>26500</v>
      </c>
      <c r="G939" s="4" t="s">
        <v>421</v>
      </c>
      <c r="H939" s="204">
        <v>5506225174</v>
      </c>
      <c r="I939" s="199">
        <v>3700</v>
      </c>
      <c r="J939" s="201">
        <v>26.74</v>
      </c>
      <c r="K939" s="3" t="s">
        <v>117</v>
      </c>
      <c r="L939" s="3" t="s">
        <v>132</v>
      </c>
      <c r="M939" s="6"/>
      <c r="N939" s="6"/>
      <c r="O939" s="198">
        <v>30825</v>
      </c>
      <c r="P939" s="6"/>
      <c r="Q939" s="202">
        <v>26.74</v>
      </c>
      <c r="R939" s="204">
        <v>26.74</v>
      </c>
      <c r="S939" t="s">
        <v>433</v>
      </c>
      <c r="T939">
        <f t="shared" si="56"/>
        <v>807548</v>
      </c>
      <c r="U939">
        <f t="shared" si="57"/>
        <v>625</v>
      </c>
      <c r="V939">
        <f t="shared" si="58"/>
        <v>824260.5</v>
      </c>
      <c r="W939">
        <f t="shared" si="59"/>
        <v>16712.5</v>
      </c>
    </row>
    <row r="940" spans="1:23" x14ac:dyDescent="0.25">
      <c r="A940" s="204">
        <v>7203454549</v>
      </c>
      <c r="B940" s="204">
        <v>5638056229</v>
      </c>
      <c r="C940" s="196" t="s">
        <v>403</v>
      </c>
      <c r="D940" s="5">
        <v>6234000600</v>
      </c>
      <c r="E940" s="195">
        <v>44598</v>
      </c>
      <c r="F940" s="200">
        <v>26500</v>
      </c>
      <c r="G940" s="4" t="s">
        <v>421</v>
      </c>
      <c r="H940" s="204">
        <v>5506225174</v>
      </c>
      <c r="I940" s="199">
        <v>3700</v>
      </c>
      <c r="J940" s="201">
        <v>26.22</v>
      </c>
      <c r="K940" s="3" t="s">
        <v>201</v>
      </c>
      <c r="L940" s="3" t="s">
        <v>393</v>
      </c>
      <c r="M940" s="6"/>
      <c r="N940" s="6"/>
      <c r="O940" s="198">
        <v>30825</v>
      </c>
      <c r="P940" s="6"/>
      <c r="Q940" s="202">
        <v>26.22</v>
      </c>
      <c r="R940" s="204">
        <v>26.22</v>
      </c>
      <c r="S940" t="s">
        <v>433</v>
      </c>
      <c r="T940">
        <f t="shared" si="56"/>
        <v>791844</v>
      </c>
      <c r="U940">
        <f t="shared" si="57"/>
        <v>625</v>
      </c>
      <c r="V940">
        <f t="shared" si="58"/>
        <v>808231.5</v>
      </c>
      <c r="W940">
        <f t="shared" si="59"/>
        <v>16387.5</v>
      </c>
    </row>
    <row r="941" spans="1:23" x14ac:dyDescent="0.25">
      <c r="A941" s="204">
        <v>7203454549</v>
      </c>
      <c r="B941" s="204">
        <v>5638056229</v>
      </c>
      <c r="C941" s="196" t="s">
        <v>403</v>
      </c>
      <c r="D941" s="5">
        <v>6234000600</v>
      </c>
      <c r="E941" s="195">
        <v>44598</v>
      </c>
      <c r="F941" s="200">
        <v>26500</v>
      </c>
      <c r="G941" s="4" t="s">
        <v>421</v>
      </c>
      <c r="H941" s="204">
        <v>5506225174</v>
      </c>
      <c r="I941" s="199">
        <v>3700</v>
      </c>
      <c r="J941" s="201">
        <v>26.26</v>
      </c>
      <c r="K941" s="3" t="s">
        <v>93</v>
      </c>
      <c r="L941" s="3" t="s">
        <v>245</v>
      </c>
      <c r="M941" s="6"/>
      <c r="N941" s="6"/>
      <c r="O941" s="198">
        <v>30825</v>
      </c>
      <c r="P941" s="6"/>
      <c r="Q941" s="202">
        <v>26.26</v>
      </c>
      <c r="R941" s="204">
        <v>26.26</v>
      </c>
      <c r="S941" t="s">
        <v>433</v>
      </c>
      <c r="T941">
        <f t="shared" si="56"/>
        <v>793052</v>
      </c>
      <c r="U941">
        <f t="shared" si="57"/>
        <v>625</v>
      </c>
      <c r="V941">
        <f t="shared" si="58"/>
        <v>809464.5</v>
      </c>
      <c r="W941">
        <f t="shared" si="59"/>
        <v>16412.5</v>
      </c>
    </row>
    <row r="942" spans="1:23" x14ac:dyDescent="0.25">
      <c r="A942" s="204">
        <v>7203454549</v>
      </c>
      <c r="B942" s="204">
        <v>5638056229</v>
      </c>
      <c r="C942" s="196" t="s">
        <v>403</v>
      </c>
      <c r="D942" s="5">
        <v>6234000600</v>
      </c>
      <c r="E942" s="195">
        <v>44598</v>
      </c>
      <c r="F942" s="200">
        <v>26500</v>
      </c>
      <c r="G942" s="4" t="s">
        <v>421</v>
      </c>
      <c r="H942" s="204">
        <v>5506225174</v>
      </c>
      <c r="I942" s="199">
        <v>3700</v>
      </c>
      <c r="J942" s="201">
        <v>26.66</v>
      </c>
      <c r="K942" s="3" t="s">
        <v>391</v>
      </c>
      <c r="L942" s="3" t="s">
        <v>394</v>
      </c>
      <c r="M942" s="6"/>
      <c r="N942" s="6"/>
      <c r="O942" s="198">
        <v>30825</v>
      </c>
      <c r="P942" s="6"/>
      <c r="Q942" s="202">
        <v>26.66</v>
      </c>
      <c r="R942" s="204">
        <v>26.66</v>
      </c>
      <c r="S942" t="s">
        <v>433</v>
      </c>
      <c r="T942">
        <f t="shared" si="56"/>
        <v>805132</v>
      </c>
      <c r="U942">
        <f t="shared" si="57"/>
        <v>625</v>
      </c>
      <c r="V942">
        <f t="shared" si="58"/>
        <v>821794.5</v>
      </c>
      <c r="W942">
        <f t="shared" si="59"/>
        <v>16662.5</v>
      </c>
    </row>
    <row r="943" spans="1:23" x14ac:dyDescent="0.25">
      <c r="A943" s="204">
        <v>7203454549</v>
      </c>
      <c r="B943" s="204">
        <v>5638056229</v>
      </c>
      <c r="C943" s="196" t="s">
        <v>403</v>
      </c>
      <c r="D943" s="5">
        <v>6234000600</v>
      </c>
      <c r="E943" s="195">
        <v>44600</v>
      </c>
      <c r="F943" s="200">
        <v>26500</v>
      </c>
      <c r="G943" s="4" t="s">
        <v>421</v>
      </c>
      <c r="H943" s="204">
        <v>5501132737</v>
      </c>
      <c r="I943" s="199">
        <v>3700</v>
      </c>
      <c r="J943" s="201">
        <v>26.14</v>
      </c>
      <c r="K943" s="3" t="s">
        <v>113</v>
      </c>
      <c r="L943" s="3" t="s">
        <v>129</v>
      </c>
      <c r="M943" s="6"/>
      <c r="N943" s="6"/>
      <c r="O943" s="198">
        <v>30825</v>
      </c>
      <c r="P943" s="6"/>
      <c r="Q943" s="202">
        <v>26.14</v>
      </c>
      <c r="R943" s="204">
        <v>26.14</v>
      </c>
      <c r="S943" t="s">
        <v>433</v>
      </c>
      <c r="T943">
        <f t="shared" si="56"/>
        <v>789428</v>
      </c>
      <c r="U943">
        <f t="shared" si="57"/>
        <v>625</v>
      </c>
      <c r="V943">
        <f t="shared" si="58"/>
        <v>805765.5</v>
      </c>
      <c r="W943">
        <f t="shared" si="59"/>
        <v>16337.5</v>
      </c>
    </row>
    <row r="944" spans="1:23" x14ac:dyDescent="0.25">
      <c r="A944" s="204">
        <v>7203454549</v>
      </c>
      <c r="B944" s="204">
        <v>5638056229</v>
      </c>
      <c r="C944" s="196" t="s">
        <v>403</v>
      </c>
      <c r="D944" s="5">
        <v>6234000600</v>
      </c>
      <c r="E944" s="195">
        <v>44600</v>
      </c>
      <c r="F944" s="200">
        <v>26500</v>
      </c>
      <c r="G944" s="4" t="s">
        <v>421</v>
      </c>
      <c r="H944" s="204">
        <v>5501132737</v>
      </c>
      <c r="I944" s="199">
        <v>3700</v>
      </c>
      <c r="J944" s="201">
        <v>26.22</v>
      </c>
      <c r="K944" s="3" t="s">
        <v>197</v>
      </c>
      <c r="L944" s="3" t="s">
        <v>300</v>
      </c>
      <c r="M944" s="6"/>
      <c r="N944" s="6"/>
      <c r="O944" s="198">
        <v>30825</v>
      </c>
      <c r="P944" s="6"/>
      <c r="Q944" s="202">
        <v>26.22</v>
      </c>
      <c r="R944" s="204">
        <v>26.22</v>
      </c>
      <c r="S944" t="s">
        <v>433</v>
      </c>
      <c r="T944">
        <f t="shared" si="56"/>
        <v>791844</v>
      </c>
      <c r="U944">
        <f t="shared" si="57"/>
        <v>625</v>
      </c>
      <c r="V944">
        <f t="shared" si="58"/>
        <v>808231.5</v>
      </c>
      <c r="W944">
        <f t="shared" si="59"/>
        <v>16387.5</v>
      </c>
    </row>
    <row r="945" spans="1:23" x14ac:dyDescent="0.25">
      <c r="A945" s="204">
        <v>7203454549</v>
      </c>
      <c r="B945" s="204">
        <v>5638056229</v>
      </c>
      <c r="C945" s="196" t="s">
        <v>403</v>
      </c>
      <c r="D945" s="5">
        <v>6234000600</v>
      </c>
      <c r="E945" s="195">
        <v>44600</v>
      </c>
      <c r="F945" s="200">
        <v>26500</v>
      </c>
      <c r="G945" s="4" t="s">
        <v>421</v>
      </c>
      <c r="H945" s="204">
        <v>5501132737</v>
      </c>
      <c r="I945" s="199">
        <v>3700</v>
      </c>
      <c r="J945" s="201">
        <v>26.2</v>
      </c>
      <c r="K945" s="197" t="s">
        <v>107</v>
      </c>
      <c r="L945" s="3" t="s">
        <v>125</v>
      </c>
      <c r="M945" s="6"/>
      <c r="N945" s="6"/>
      <c r="O945" s="198">
        <v>30825</v>
      </c>
      <c r="P945" s="6"/>
      <c r="Q945" s="202">
        <v>26.2</v>
      </c>
      <c r="R945" s="204">
        <v>26.2</v>
      </c>
      <c r="S945" t="s">
        <v>433</v>
      </c>
      <c r="T945">
        <f t="shared" si="56"/>
        <v>791240</v>
      </c>
      <c r="U945">
        <f t="shared" si="57"/>
        <v>625</v>
      </c>
      <c r="V945">
        <f t="shared" si="58"/>
        <v>807615</v>
      </c>
      <c r="W945">
        <f t="shared" si="59"/>
        <v>16375</v>
      </c>
    </row>
    <row r="946" spans="1:23" x14ac:dyDescent="0.25">
      <c r="A946" s="204">
        <v>7203454549</v>
      </c>
      <c r="B946" s="204">
        <v>5638056229</v>
      </c>
      <c r="C946" s="196" t="s">
        <v>403</v>
      </c>
      <c r="D946" s="5">
        <v>6234000600</v>
      </c>
      <c r="E946" s="195">
        <v>44600</v>
      </c>
      <c r="F946" s="200">
        <v>26500</v>
      </c>
      <c r="G946" s="4" t="s">
        <v>421</v>
      </c>
      <c r="H946" s="204">
        <v>5501132737</v>
      </c>
      <c r="I946" s="199">
        <v>3700</v>
      </c>
      <c r="J946" s="201">
        <v>26.66</v>
      </c>
      <c r="K946" s="197" t="s">
        <v>188</v>
      </c>
      <c r="L946" s="3" t="s">
        <v>233</v>
      </c>
      <c r="M946" s="6"/>
      <c r="N946" s="6"/>
      <c r="O946" s="198">
        <v>30825</v>
      </c>
      <c r="P946" s="6"/>
      <c r="Q946" s="202">
        <v>26.66</v>
      </c>
      <c r="R946" s="204">
        <v>26.66</v>
      </c>
      <c r="S946" t="s">
        <v>433</v>
      </c>
      <c r="T946">
        <f t="shared" si="56"/>
        <v>805132</v>
      </c>
      <c r="U946">
        <f t="shared" si="57"/>
        <v>625</v>
      </c>
      <c r="V946">
        <f t="shared" si="58"/>
        <v>821794.5</v>
      </c>
      <c r="W946">
        <f t="shared" si="59"/>
        <v>16662.5</v>
      </c>
    </row>
    <row r="947" spans="1:23" x14ac:dyDescent="0.25">
      <c r="A947" s="204">
        <v>7203454549</v>
      </c>
      <c r="B947" s="204">
        <v>5638056229</v>
      </c>
      <c r="C947" s="196" t="s">
        <v>403</v>
      </c>
      <c r="D947" s="5">
        <v>6234000600</v>
      </c>
      <c r="E947" s="195">
        <v>44601</v>
      </c>
      <c r="F947" s="200">
        <v>26500</v>
      </c>
      <c r="G947" s="4" t="s">
        <v>421</v>
      </c>
      <c r="H947" s="204">
        <v>5501208190</v>
      </c>
      <c r="I947" s="199">
        <v>3700</v>
      </c>
      <c r="J947" s="201">
        <v>26.9</v>
      </c>
      <c r="K947" s="3" t="s">
        <v>101</v>
      </c>
      <c r="L947" s="3" t="s">
        <v>119</v>
      </c>
      <c r="M947" s="6"/>
      <c r="N947" s="6"/>
      <c r="O947" s="198">
        <v>30825</v>
      </c>
      <c r="P947" s="6"/>
      <c r="Q947" s="202">
        <v>26.9</v>
      </c>
      <c r="R947" s="204">
        <v>26.9</v>
      </c>
      <c r="S947" t="s">
        <v>433</v>
      </c>
      <c r="T947">
        <f t="shared" si="56"/>
        <v>812380</v>
      </c>
      <c r="U947">
        <f t="shared" si="57"/>
        <v>625</v>
      </c>
      <c r="V947">
        <f t="shared" si="58"/>
        <v>829192.5</v>
      </c>
      <c r="W947">
        <f t="shared" si="59"/>
        <v>16812.5</v>
      </c>
    </row>
    <row r="948" spans="1:23" x14ac:dyDescent="0.25">
      <c r="A948" s="204">
        <v>7203454549</v>
      </c>
      <c r="B948" s="204">
        <v>5638056229</v>
      </c>
      <c r="C948" s="196" t="s">
        <v>403</v>
      </c>
      <c r="D948" s="5">
        <v>6234000600</v>
      </c>
      <c r="E948" s="195">
        <v>44601</v>
      </c>
      <c r="F948" s="200">
        <v>26500</v>
      </c>
      <c r="G948" s="4" t="s">
        <v>421</v>
      </c>
      <c r="H948" s="204">
        <v>5501132737</v>
      </c>
      <c r="I948" s="199">
        <v>3700</v>
      </c>
      <c r="J948" s="201">
        <v>26.3</v>
      </c>
      <c r="K948" s="3" t="s">
        <v>114</v>
      </c>
      <c r="L948" s="3" t="s">
        <v>130</v>
      </c>
      <c r="M948" s="6"/>
      <c r="N948" s="6"/>
      <c r="O948" s="198">
        <v>30825</v>
      </c>
      <c r="P948" s="6"/>
      <c r="Q948" s="202">
        <v>26.3</v>
      </c>
      <c r="R948" s="204">
        <v>26.3</v>
      </c>
      <c r="S948" t="s">
        <v>433</v>
      </c>
      <c r="T948">
        <f t="shared" si="56"/>
        <v>794260</v>
      </c>
      <c r="U948">
        <f t="shared" si="57"/>
        <v>625</v>
      </c>
      <c r="V948">
        <f t="shared" si="58"/>
        <v>810697.5</v>
      </c>
      <c r="W948">
        <f t="shared" si="59"/>
        <v>16437.5</v>
      </c>
    </row>
    <row r="949" spans="1:23" x14ac:dyDescent="0.25">
      <c r="A949" s="204">
        <v>7203454549</v>
      </c>
      <c r="B949" s="204">
        <v>5638056229</v>
      </c>
      <c r="C949" s="196" t="s">
        <v>403</v>
      </c>
      <c r="D949" s="5">
        <v>6234000600</v>
      </c>
      <c r="E949" s="195">
        <v>44602</v>
      </c>
      <c r="F949" s="200">
        <v>26500</v>
      </c>
      <c r="G949" s="4" t="s">
        <v>421</v>
      </c>
      <c r="H949" s="204">
        <v>5501132737</v>
      </c>
      <c r="I949" s="199">
        <v>3700</v>
      </c>
      <c r="J949" s="201">
        <v>26.3</v>
      </c>
      <c r="K949" s="3" t="s">
        <v>179</v>
      </c>
      <c r="L949" s="3" t="s">
        <v>408</v>
      </c>
      <c r="M949" s="6"/>
      <c r="N949" s="6"/>
      <c r="O949" s="198">
        <v>30825</v>
      </c>
      <c r="P949" s="6"/>
      <c r="Q949" s="202">
        <v>26.3</v>
      </c>
      <c r="R949" s="204">
        <v>26.3</v>
      </c>
      <c r="S949" t="s">
        <v>433</v>
      </c>
      <c r="T949">
        <f t="shared" si="56"/>
        <v>794260</v>
      </c>
      <c r="U949">
        <f t="shared" si="57"/>
        <v>625</v>
      </c>
      <c r="V949">
        <f t="shared" si="58"/>
        <v>810697.5</v>
      </c>
      <c r="W949">
        <f t="shared" si="59"/>
        <v>16437.5</v>
      </c>
    </row>
    <row r="950" spans="1:23" x14ac:dyDescent="0.25">
      <c r="A950" s="204">
        <v>7203454549</v>
      </c>
      <c r="B950" s="204">
        <v>5638056229</v>
      </c>
      <c r="C950" s="196" t="s">
        <v>403</v>
      </c>
      <c r="D950" s="5">
        <v>6234000600</v>
      </c>
      <c r="E950" s="195">
        <v>44602</v>
      </c>
      <c r="F950" s="200">
        <v>26500</v>
      </c>
      <c r="G950" s="4" t="s">
        <v>421</v>
      </c>
      <c r="H950" s="204">
        <v>5501132737</v>
      </c>
      <c r="I950" s="199">
        <v>3700</v>
      </c>
      <c r="J950" s="201">
        <v>26.18</v>
      </c>
      <c r="K950" s="3" t="s">
        <v>13</v>
      </c>
      <c r="L950" s="3" t="s">
        <v>409</v>
      </c>
      <c r="M950" s="6"/>
      <c r="N950" s="6"/>
      <c r="O950" s="198">
        <v>30825</v>
      </c>
      <c r="P950" s="6"/>
      <c r="Q950" s="202">
        <v>26.18</v>
      </c>
      <c r="R950" s="204">
        <v>26.18</v>
      </c>
      <c r="S950" t="s">
        <v>433</v>
      </c>
      <c r="T950">
        <f t="shared" si="56"/>
        <v>790636</v>
      </c>
      <c r="U950">
        <f t="shared" si="57"/>
        <v>625</v>
      </c>
      <c r="V950">
        <f t="shared" si="58"/>
        <v>806998.5</v>
      </c>
      <c r="W950">
        <f t="shared" si="59"/>
        <v>16362.5</v>
      </c>
    </row>
    <row r="951" spans="1:23" x14ac:dyDescent="0.25">
      <c r="A951" s="204">
        <v>7203454549</v>
      </c>
      <c r="B951" s="204">
        <v>5638056229</v>
      </c>
      <c r="C951" s="196" t="s">
        <v>403</v>
      </c>
      <c r="D951" s="5">
        <v>6234000600</v>
      </c>
      <c r="E951" s="195">
        <v>44603</v>
      </c>
      <c r="F951" s="200">
        <v>26500</v>
      </c>
      <c r="G951" s="4" t="s">
        <v>421</v>
      </c>
      <c r="H951" s="204">
        <v>5501132737</v>
      </c>
      <c r="I951" s="199">
        <v>3700</v>
      </c>
      <c r="J951" s="201">
        <v>25.7</v>
      </c>
      <c r="K951" s="3" t="s">
        <v>195</v>
      </c>
      <c r="L951" s="3" t="s">
        <v>299</v>
      </c>
      <c r="M951" s="6"/>
      <c r="N951" s="6"/>
      <c r="O951" s="198">
        <v>30825</v>
      </c>
      <c r="P951" s="6"/>
      <c r="Q951" s="202">
        <v>25.7</v>
      </c>
      <c r="R951" s="204">
        <v>25.7</v>
      </c>
      <c r="S951" t="s">
        <v>433</v>
      </c>
      <c r="T951">
        <f t="shared" si="56"/>
        <v>776140</v>
      </c>
      <c r="U951">
        <f t="shared" si="57"/>
        <v>625</v>
      </c>
      <c r="V951">
        <f t="shared" si="58"/>
        <v>792202.5</v>
      </c>
      <c r="W951">
        <f t="shared" si="59"/>
        <v>16062.5</v>
      </c>
    </row>
    <row r="952" spans="1:23" x14ac:dyDescent="0.25">
      <c r="A952" s="204">
        <v>7203454549</v>
      </c>
      <c r="B952" s="204">
        <v>5638056229</v>
      </c>
      <c r="C952" s="196" t="s">
        <v>403</v>
      </c>
      <c r="D952" s="5">
        <v>6234000600</v>
      </c>
      <c r="E952" s="195">
        <v>44603</v>
      </c>
      <c r="F952" s="200">
        <v>26500</v>
      </c>
      <c r="G952" s="4" t="s">
        <v>421</v>
      </c>
      <c r="H952" s="204">
        <v>5501132737</v>
      </c>
      <c r="I952" s="199">
        <v>3700</v>
      </c>
      <c r="J952" s="201">
        <v>25.52</v>
      </c>
      <c r="K952" s="197" t="s">
        <v>405</v>
      </c>
      <c r="L952" s="3" t="s">
        <v>410</v>
      </c>
      <c r="M952" s="6"/>
      <c r="N952" s="6"/>
      <c r="O952" s="198">
        <v>30825</v>
      </c>
      <c r="P952" s="6"/>
      <c r="Q952" s="202">
        <v>25.52</v>
      </c>
      <c r="R952" s="204">
        <v>25.52</v>
      </c>
      <c r="S952" t="s">
        <v>433</v>
      </c>
      <c r="T952">
        <f t="shared" si="56"/>
        <v>770704</v>
      </c>
      <c r="U952">
        <f t="shared" si="57"/>
        <v>625</v>
      </c>
      <c r="V952">
        <f t="shared" si="58"/>
        <v>786654</v>
      </c>
      <c r="W952">
        <f t="shared" si="59"/>
        <v>15950</v>
      </c>
    </row>
    <row r="953" spans="1:23" x14ac:dyDescent="0.25">
      <c r="A953" s="204">
        <v>7203454549</v>
      </c>
      <c r="B953" s="204">
        <v>5638056229</v>
      </c>
      <c r="C953" s="196" t="s">
        <v>403</v>
      </c>
      <c r="D953" s="5">
        <v>6234000600</v>
      </c>
      <c r="E953" s="195">
        <v>44603</v>
      </c>
      <c r="F953" s="200">
        <v>26500</v>
      </c>
      <c r="G953" s="4" t="s">
        <v>421</v>
      </c>
      <c r="H953" s="204">
        <v>5501132737</v>
      </c>
      <c r="I953" s="199">
        <v>3700</v>
      </c>
      <c r="J953" s="201">
        <v>26.54</v>
      </c>
      <c r="K953" s="3" t="s">
        <v>187</v>
      </c>
      <c r="L953" s="3" t="s">
        <v>232</v>
      </c>
      <c r="M953" s="6"/>
      <c r="N953" s="6"/>
      <c r="O953" s="198">
        <v>30825</v>
      </c>
      <c r="P953" s="6"/>
      <c r="Q953" s="202">
        <v>26.54</v>
      </c>
      <c r="R953" s="204">
        <v>26.54</v>
      </c>
      <c r="S953" t="s">
        <v>433</v>
      </c>
      <c r="T953">
        <f t="shared" si="56"/>
        <v>801508</v>
      </c>
      <c r="U953">
        <f t="shared" si="57"/>
        <v>625</v>
      </c>
      <c r="V953">
        <f t="shared" si="58"/>
        <v>818095.5</v>
      </c>
      <c r="W953">
        <f t="shared" si="59"/>
        <v>16587.5</v>
      </c>
    </row>
    <row r="954" spans="1:23" x14ac:dyDescent="0.25">
      <c r="A954" s="204">
        <v>7203454549</v>
      </c>
      <c r="B954" s="204">
        <v>5638056229</v>
      </c>
      <c r="C954" s="196" t="s">
        <v>403</v>
      </c>
      <c r="D954" s="5">
        <v>6234000600</v>
      </c>
      <c r="E954" s="195">
        <v>44603</v>
      </c>
      <c r="F954" s="200">
        <v>26500</v>
      </c>
      <c r="G954" s="4" t="s">
        <v>421</v>
      </c>
      <c r="H954" s="204">
        <v>5501208190</v>
      </c>
      <c r="I954" s="199">
        <v>3700</v>
      </c>
      <c r="J954" s="201">
        <v>26.42</v>
      </c>
      <c r="K954" s="3" t="s">
        <v>5</v>
      </c>
      <c r="L954" s="3" t="s">
        <v>22</v>
      </c>
      <c r="M954" s="6"/>
      <c r="N954" s="6"/>
      <c r="O954" s="198">
        <v>30825</v>
      </c>
      <c r="P954" s="6"/>
      <c r="Q954" s="202">
        <v>26.42</v>
      </c>
      <c r="R954" s="204">
        <v>26.42</v>
      </c>
      <c r="S954" t="s">
        <v>433</v>
      </c>
      <c r="T954">
        <f t="shared" si="56"/>
        <v>797884</v>
      </c>
      <c r="U954">
        <f t="shared" si="57"/>
        <v>625</v>
      </c>
      <c r="V954">
        <f t="shared" si="58"/>
        <v>814396.5</v>
      </c>
      <c r="W954">
        <f t="shared" si="59"/>
        <v>16512.5</v>
      </c>
    </row>
    <row r="955" spans="1:23" x14ac:dyDescent="0.25">
      <c r="A955" s="204">
        <v>7203454549</v>
      </c>
      <c r="B955" s="204">
        <v>5638056229</v>
      </c>
      <c r="C955" s="196" t="s">
        <v>403</v>
      </c>
      <c r="D955" s="5">
        <v>6234000600</v>
      </c>
      <c r="E955" s="195">
        <v>44604</v>
      </c>
      <c r="F955" s="200">
        <v>26500</v>
      </c>
      <c r="G955" s="4" t="s">
        <v>421</v>
      </c>
      <c r="H955" s="204">
        <v>5501132737</v>
      </c>
      <c r="I955" s="199">
        <v>3700</v>
      </c>
      <c r="J955" s="201">
        <v>26.22</v>
      </c>
      <c r="K955" s="197" t="s">
        <v>184</v>
      </c>
      <c r="L955" s="3" t="s">
        <v>228</v>
      </c>
      <c r="M955" s="6"/>
      <c r="N955" s="6"/>
      <c r="O955" s="198">
        <v>30825</v>
      </c>
      <c r="P955" s="6"/>
      <c r="Q955" s="202">
        <v>26.22</v>
      </c>
      <c r="R955" s="204">
        <v>26.22</v>
      </c>
      <c r="S955" t="s">
        <v>433</v>
      </c>
      <c r="T955">
        <f t="shared" si="56"/>
        <v>791844</v>
      </c>
      <c r="U955">
        <f t="shared" si="57"/>
        <v>625</v>
      </c>
      <c r="V955">
        <f t="shared" si="58"/>
        <v>808231.5</v>
      </c>
      <c r="W955">
        <f t="shared" si="59"/>
        <v>16387.5</v>
      </c>
    </row>
    <row r="956" spans="1:23" x14ac:dyDescent="0.25">
      <c r="A956" s="204">
        <v>7203454549</v>
      </c>
      <c r="B956" s="204">
        <v>5638056229</v>
      </c>
      <c r="C956" s="196" t="s">
        <v>403</v>
      </c>
      <c r="D956" s="5">
        <v>6234000600</v>
      </c>
      <c r="E956" s="195">
        <v>44604</v>
      </c>
      <c r="F956" s="200">
        <v>26500</v>
      </c>
      <c r="G956" s="4" t="s">
        <v>421</v>
      </c>
      <c r="H956" s="204">
        <v>5501132737</v>
      </c>
      <c r="I956" s="199">
        <v>3700</v>
      </c>
      <c r="J956" s="201">
        <v>25.64</v>
      </c>
      <c r="K956" s="197" t="s">
        <v>199</v>
      </c>
      <c r="L956" s="3" t="s">
        <v>242</v>
      </c>
      <c r="M956" s="6"/>
      <c r="N956" s="6"/>
      <c r="O956" s="198">
        <v>30825</v>
      </c>
      <c r="P956" s="6"/>
      <c r="Q956" s="202">
        <v>25.64</v>
      </c>
      <c r="R956" s="204">
        <v>25.64</v>
      </c>
      <c r="S956" t="s">
        <v>433</v>
      </c>
      <c r="T956">
        <f t="shared" si="56"/>
        <v>774328</v>
      </c>
      <c r="U956">
        <f t="shared" si="57"/>
        <v>625</v>
      </c>
      <c r="V956">
        <f t="shared" si="58"/>
        <v>790353</v>
      </c>
      <c r="W956">
        <f t="shared" si="59"/>
        <v>16025</v>
      </c>
    </row>
    <row r="957" spans="1:23" x14ac:dyDescent="0.25">
      <c r="A957" s="204">
        <v>7203454549</v>
      </c>
      <c r="B957" s="204">
        <v>5638056229</v>
      </c>
      <c r="C957" s="196" t="s">
        <v>403</v>
      </c>
      <c r="D957" s="5">
        <v>6234000600</v>
      </c>
      <c r="E957" s="195">
        <v>44604</v>
      </c>
      <c r="F957" s="200">
        <v>26500</v>
      </c>
      <c r="G957" s="4" t="s">
        <v>421</v>
      </c>
      <c r="H957" s="204">
        <v>5501132737</v>
      </c>
      <c r="I957" s="199">
        <v>3700</v>
      </c>
      <c r="J957" s="201">
        <v>23.92</v>
      </c>
      <c r="K957" s="197" t="s">
        <v>194</v>
      </c>
      <c r="L957" s="3" t="s">
        <v>222</v>
      </c>
      <c r="M957" s="6"/>
      <c r="N957" s="6"/>
      <c r="O957" s="198">
        <v>30825</v>
      </c>
      <c r="P957" s="6"/>
      <c r="Q957" s="202">
        <v>23.92</v>
      </c>
      <c r="R957" s="204">
        <v>23.92</v>
      </c>
      <c r="S957" t="s">
        <v>433</v>
      </c>
      <c r="T957">
        <f t="shared" si="56"/>
        <v>722384</v>
      </c>
      <c r="U957">
        <f t="shared" si="57"/>
        <v>625</v>
      </c>
      <c r="V957">
        <f t="shared" si="58"/>
        <v>737334</v>
      </c>
      <c r="W957">
        <f t="shared" si="59"/>
        <v>14950</v>
      </c>
    </row>
    <row r="958" spans="1:23" x14ac:dyDescent="0.25">
      <c r="A958" s="204">
        <v>7203454549</v>
      </c>
      <c r="B958" s="204">
        <v>5638056229</v>
      </c>
      <c r="C958" s="196" t="s">
        <v>403</v>
      </c>
      <c r="D958" s="5">
        <v>6234000600</v>
      </c>
      <c r="E958" s="195">
        <v>44604</v>
      </c>
      <c r="F958" s="200">
        <v>26500</v>
      </c>
      <c r="G958" s="4" t="s">
        <v>421</v>
      </c>
      <c r="H958" s="204">
        <v>5501132737</v>
      </c>
      <c r="I958" s="199">
        <v>3700</v>
      </c>
      <c r="J958" s="201">
        <v>26.44</v>
      </c>
      <c r="K958" s="3" t="s">
        <v>13</v>
      </c>
      <c r="L958" s="3" t="s">
        <v>409</v>
      </c>
      <c r="M958" s="6"/>
      <c r="N958" s="6"/>
      <c r="O958" s="198">
        <v>30825</v>
      </c>
      <c r="P958" s="6"/>
      <c r="Q958" s="202">
        <v>26.44</v>
      </c>
      <c r="R958" s="204">
        <v>26.44</v>
      </c>
      <c r="S958" t="s">
        <v>433</v>
      </c>
      <c r="T958">
        <f t="shared" si="56"/>
        <v>798488</v>
      </c>
      <c r="U958">
        <f t="shared" si="57"/>
        <v>625</v>
      </c>
      <c r="V958">
        <f t="shared" si="58"/>
        <v>815013</v>
      </c>
      <c r="W958">
        <f t="shared" si="59"/>
        <v>16525</v>
      </c>
    </row>
    <row r="959" spans="1:23" x14ac:dyDescent="0.25">
      <c r="A959" s="204">
        <v>7203454549</v>
      </c>
      <c r="B959" s="204">
        <v>5638056229</v>
      </c>
      <c r="C959" s="196" t="s">
        <v>403</v>
      </c>
      <c r="D959" s="5">
        <v>6234000600</v>
      </c>
      <c r="E959" s="195">
        <v>44608</v>
      </c>
      <c r="F959" s="200">
        <v>27100</v>
      </c>
      <c r="G959" s="4" t="s">
        <v>421</v>
      </c>
      <c r="H959" s="204">
        <v>5501132737</v>
      </c>
      <c r="I959" s="199">
        <v>3700</v>
      </c>
      <c r="J959" s="201">
        <v>25.64</v>
      </c>
      <c r="K959" s="197" t="s">
        <v>195</v>
      </c>
      <c r="L959" s="3" t="s">
        <v>299</v>
      </c>
      <c r="M959" s="6"/>
      <c r="N959" s="6"/>
      <c r="O959" s="198">
        <v>31700</v>
      </c>
      <c r="P959" s="6"/>
      <c r="Q959" s="202">
        <v>25.64</v>
      </c>
      <c r="R959" s="204">
        <v>25.64</v>
      </c>
      <c r="S959" t="s">
        <v>433</v>
      </c>
      <c r="T959">
        <f t="shared" si="56"/>
        <v>789712</v>
      </c>
      <c r="U959">
        <f t="shared" si="57"/>
        <v>900</v>
      </c>
      <c r="V959">
        <f t="shared" si="58"/>
        <v>812788</v>
      </c>
      <c r="W959">
        <f t="shared" si="59"/>
        <v>23076</v>
      </c>
    </row>
    <row r="960" spans="1:23" x14ac:dyDescent="0.25">
      <c r="A960" s="204">
        <v>7203454549</v>
      </c>
      <c r="B960" s="204">
        <v>5638056229</v>
      </c>
      <c r="C960" s="196" t="s">
        <v>403</v>
      </c>
      <c r="D960" s="5">
        <v>6234000600</v>
      </c>
      <c r="E960" s="195">
        <v>44608</v>
      </c>
      <c r="F960" s="200">
        <v>27100</v>
      </c>
      <c r="G960" s="4" t="s">
        <v>421</v>
      </c>
      <c r="H960" s="204">
        <v>5501132737</v>
      </c>
      <c r="I960" s="199">
        <v>3700</v>
      </c>
      <c r="J960" s="201">
        <v>26.28</v>
      </c>
      <c r="K960" s="197" t="s">
        <v>209</v>
      </c>
      <c r="L960" s="3" t="s">
        <v>411</v>
      </c>
      <c r="M960" s="6"/>
      <c r="N960" s="6"/>
      <c r="O960" s="198">
        <v>31700</v>
      </c>
      <c r="P960" s="6"/>
      <c r="Q960" s="202">
        <v>26.28</v>
      </c>
      <c r="R960" s="204">
        <v>26.28</v>
      </c>
      <c r="S960" t="s">
        <v>433</v>
      </c>
      <c r="T960">
        <f t="shared" si="56"/>
        <v>809424</v>
      </c>
      <c r="U960">
        <f t="shared" si="57"/>
        <v>900</v>
      </c>
      <c r="V960">
        <f t="shared" si="58"/>
        <v>833076</v>
      </c>
      <c r="W960">
        <f t="shared" si="59"/>
        <v>23652</v>
      </c>
    </row>
    <row r="961" spans="1:23" x14ac:dyDescent="0.25">
      <c r="A961" s="204">
        <v>7203454549</v>
      </c>
      <c r="B961" s="204">
        <v>5638056229</v>
      </c>
      <c r="C961" s="196" t="s">
        <v>403</v>
      </c>
      <c r="D961" s="5">
        <v>6234000600</v>
      </c>
      <c r="E961" s="195">
        <v>44608</v>
      </c>
      <c r="F961" s="200">
        <v>27100</v>
      </c>
      <c r="G961" s="4" t="s">
        <v>421</v>
      </c>
      <c r="H961" s="204">
        <v>5501132737</v>
      </c>
      <c r="I961" s="199">
        <v>3700</v>
      </c>
      <c r="J961" s="201">
        <v>26.52</v>
      </c>
      <c r="K961" s="197" t="s">
        <v>204</v>
      </c>
      <c r="L961" s="3" t="s">
        <v>244</v>
      </c>
      <c r="M961" s="6"/>
      <c r="N961" s="6"/>
      <c r="O961" s="198">
        <v>31700</v>
      </c>
      <c r="P961" s="6"/>
      <c r="Q961" s="202">
        <v>26.52</v>
      </c>
      <c r="R961" s="204">
        <v>26.52</v>
      </c>
      <c r="S961" t="s">
        <v>433</v>
      </c>
      <c r="T961">
        <f t="shared" si="56"/>
        <v>816816</v>
      </c>
      <c r="U961">
        <f t="shared" si="57"/>
        <v>900</v>
      </c>
      <c r="V961">
        <f t="shared" si="58"/>
        <v>840684</v>
      </c>
      <c r="W961">
        <f t="shared" si="59"/>
        <v>23868</v>
      </c>
    </row>
    <row r="962" spans="1:23" x14ac:dyDescent="0.25">
      <c r="A962" s="204">
        <v>7203454549</v>
      </c>
      <c r="B962" s="204">
        <v>5638056229</v>
      </c>
      <c r="C962" s="196" t="s">
        <v>403</v>
      </c>
      <c r="D962" s="5">
        <v>6234000600</v>
      </c>
      <c r="E962" s="195">
        <v>44608</v>
      </c>
      <c r="F962" s="200">
        <v>27100</v>
      </c>
      <c r="G962" s="4" t="s">
        <v>421</v>
      </c>
      <c r="H962" s="204">
        <v>5501132737</v>
      </c>
      <c r="I962" s="199">
        <v>3700</v>
      </c>
      <c r="J962" s="201">
        <v>26.34</v>
      </c>
      <c r="K962" s="197" t="s">
        <v>188</v>
      </c>
      <c r="L962" s="3" t="s">
        <v>233</v>
      </c>
      <c r="M962" s="6"/>
      <c r="N962" s="6"/>
      <c r="O962" s="198">
        <v>31700</v>
      </c>
      <c r="P962" s="6"/>
      <c r="Q962" s="202">
        <v>26.34</v>
      </c>
      <c r="R962" s="204">
        <v>26.34</v>
      </c>
      <c r="S962" t="s">
        <v>433</v>
      </c>
      <c r="T962">
        <f t="shared" si="56"/>
        <v>811272</v>
      </c>
      <c r="U962">
        <f t="shared" si="57"/>
        <v>900</v>
      </c>
      <c r="V962">
        <f t="shared" si="58"/>
        <v>834978</v>
      </c>
      <c r="W962">
        <f t="shared" si="59"/>
        <v>23706</v>
      </c>
    </row>
    <row r="963" spans="1:23" x14ac:dyDescent="0.25">
      <c r="A963" s="204">
        <v>7203454549</v>
      </c>
      <c r="B963" s="204">
        <v>5638056229</v>
      </c>
      <c r="C963" s="196" t="s">
        <v>403</v>
      </c>
      <c r="D963" s="5">
        <v>6234000600</v>
      </c>
      <c r="E963" s="195">
        <v>44609</v>
      </c>
      <c r="F963" s="200">
        <v>27100</v>
      </c>
      <c r="G963" s="4" t="s">
        <v>421</v>
      </c>
      <c r="H963" s="204">
        <v>5501132737</v>
      </c>
      <c r="I963" s="199">
        <v>3700</v>
      </c>
      <c r="J963" s="201">
        <v>26.56</v>
      </c>
      <c r="K963" s="197" t="s">
        <v>196</v>
      </c>
      <c r="L963" s="3" t="s">
        <v>239</v>
      </c>
      <c r="M963" s="6"/>
      <c r="N963" s="6"/>
      <c r="O963" s="198">
        <v>31700</v>
      </c>
      <c r="P963" s="6"/>
      <c r="Q963" s="202">
        <v>26.56</v>
      </c>
      <c r="R963" s="204">
        <v>26.56</v>
      </c>
      <c r="S963" t="s">
        <v>433</v>
      </c>
      <c r="T963">
        <f t="shared" ref="T963:T1003" si="60">(I963+F963)*J963</f>
        <v>818048</v>
      </c>
      <c r="U963">
        <f t="shared" ref="U963:U1003" si="61">O963-(F963+I963)</f>
        <v>900</v>
      </c>
      <c r="V963">
        <f t="shared" ref="V963:V1003" si="62">O963*J963</f>
        <v>841952</v>
      </c>
      <c r="W963">
        <f t="shared" ref="W963:W1003" si="63">V963-T963</f>
        <v>23904</v>
      </c>
    </row>
    <row r="964" spans="1:23" x14ac:dyDescent="0.25">
      <c r="A964" s="204">
        <v>7203454549</v>
      </c>
      <c r="B964" s="204">
        <v>5638056229</v>
      </c>
      <c r="C964" s="196" t="s">
        <v>403</v>
      </c>
      <c r="D964" s="5">
        <v>6234000600</v>
      </c>
      <c r="E964" s="195">
        <v>44609</v>
      </c>
      <c r="F964" s="200">
        <v>27100</v>
      </c>
      <c r="G964" s="4" t="s">
        <v>421</v>
      </c>
      <c r="H964" s="204">
        <v>5501132737</v>
      </c>
      <c r="I964" s="199">
        <v>3700</v>
      </c>
      <c r="J964" s="201">
        <v>23.16</v>
      </c>
      <c r="K964" s="197" t="s">
        <v>406</v>
      </c>
      <c r="L964" s="3" t="s">
        <v>412</v>
      </c>
      <c r="M964" s="6"/>
      <c r="N964" s="6"/>
      <c r="O964" s="198">
        <v>31700</v>
      </c>
      <c r="P964" s="6"/>
      <c r="Q964" s="202">
        <v>23.16</v>
      </c>
      <c r="R964" s="204">
        <v>23.16</v>
      </c>
      <c r="S964" t="s">
        <v>433</v>
      </c>
      <c r="T964">
        <f t="shared" si="60"/>
        <v>713328</v>
      </c>
      <c r="U964">
        <f t="shared" si="61"/>
        <v>900</v>
      </c>
      <c r="V964">
        <f t="shared" si="62"/>
        <v>734172</v>
      </c>
      <c r="W964">
        <f t="shared" si="63"/>
        <v>20844</v>
      </c>
    </row>
    <row r="965" spans="1:23" x14ac:dyDescent="0.25">
      <c r="A965" s="204">
        <v>7203454549</v>
      </c>
      <c r="B965" s="204">
        <v>5638056229</v>
      </c>
      <c r="C965" s="196" t="s">
        <v>403</v>
      </c>
      <c r="D965" s="5">
        <v>6234000600</v>
      </c>
      <c r="E965" s="195">
        <v>44609</v>
      </c>
      <c r="F965" s="200">
        <v>27100</v>
      </c>
      <c r="G965" s="4" t="s">
        <v>421</v>
      </c>
      <c r="H965" s="204">
        <v>5501132737</v>
      </c>
      <c r="I965" s="199">
        <v>3700</v>
      </c>
      <c r="J965" s="201">
        <v>24.46</v>
      </c>
      <c r="K965" s="197" t="s">
        <v>183</v>
      </c>
      <c r="L965" s="3" t="s">
        <v>227</v>
      </c>
      <c r="M965" s="6"/>
      <c r="N965" s="6"/>
      <c r="O965" s="198">
        <v>31700</v>
      </c>
      <c r="P965" s="6"/>
      <c r="Q965" s="202">
        <v>24.46</v>
      </c>
      <c r="R965" s="204">
        <v>24.46</v>
      </c>
      <c r="S965" t="s">
        <v>433</v>
      </c>
      <c r="T965">
        <f t="shared" si="60"/>
        <v>753368</v>
      </c>
      <c r="U965">
        <f t="shared" si="61"/>
        <v>900</v>
      </c>
      <c r="V965">
        <f t="shared" si="62"/>
        <v>775382</v>
      </c>
      <c r="W965">
        <f t="shared" si="63"/>
        <v>22014</v>
      </c>
    </row>
    <row r="966" spans="1:23" x14ac:dyDescent="0.25">
      <c r="A966" s="204">
        <v>7203454549</v>
      </c>
      <c r="B966" s="204">
        <v>5638056229</v>
      </c>
      <c r="C966" s="196" t="s">
        <v>403</v>
      </c>
      <c r="D966" s="5">
        <v>6234000600</v>
      </c>
      <c r="E966" s="195">
        <v>44609</v>
      </c>
      <c r="F966" s="200">
        <v>27100</v>
      </c>
      <c r="G966" s="4" t="s">
        <v>421</v>
      </c>
      <c r="H966" s="204">
        <v>5501132737</v>
      </c>
      <c r="I966" s="199">
        <v>3700</v>
      </c>
      <c r="J966" s="201">
        <v>23.9</v>
      </c>
      <c r="K966" s="197" t="s">
        <v>203</v>
      </c>
      <c r="L966" s="3" t="s">
        <v>222</v>
      </c>
      <c r="M966" s="6"/>
      <c r="N966" s="6"/>
      <c r="O966" s="198">
        <v>31700</v>
      </c>
      <c r="P966" s="6"/>
      <c r="Q966" s="202">
        <v>23.9</v>
      </c>
      <c r="R966" s="204">
        <v>23.9</v>
      </c>
      <c r="S966" t="s">
        <v>433</v>
      </c>
      <c r="T966">
        <f t="shared" si="60"/>
        <v>736120</v>
      </c>
      <c r="U966">
        <f t="shared" si="61"/>
        <v>900</v>
      </c>
      <c r="V966">
        <f t="shared" si="62"/>
        <v>757630</v>
      </c>
      <c r="W966">
        <f t="shared" si="63"/>
        <v>21510</v>
      </c>
    </row>
    <row r="967" spans="1:23" x14ac:dyDescent="0.25">
      <c r="A967" s="204">
        <v>7203454549</v>
      </c>
      <c r="B967" s="204">
        <v>5638056229</v>
      </c>
      <c r="C967" s="196" t="s">
        <v>403</v>
      </c>
      <c r="D967" s="5">
        <v>6234000600</v>
      </c>
      <c r="E967" s="195">
        <v>44609</v>
      </c>
      <c r="F967" s="200">
        <v>27100</v>
      </c>
      <c r="G967" s="4" t="s">
        <v>421</v>
      </c>
      <c r="H967" s="204">
        <v>5506225174</v>
      </c>
      <c r="I967" s="199">
        <v>3700</v>
      </c>
      <c r="J967" s="201">
        <v>26.96</v>
      </c>
      <c r="K967" s="197" t="s">
        <v>94</v>
      </c>
      <c r="L967" s="3" t="s">
        <v>121</v>
      </c>
      <c r="M967" s="6"/>
      <c r="N967" s="6"/>
      <c r="O967" s="198">
        <v>31700</v>
      </c>
      <c r="P967" s="6"/>
      <c r="Q967" s="202">
        <v>26.96</v>
      </c>
      <c r="R967" s="204">
        <v>26.96</v>
      </c>
      <c r="S967" t="s">
        <v>433</v>
      </c>
      <c r="T967">
        <f t="shared" si="60"/>
        <v>830368</v>
      </c>
      <c r="U967">
        <f t="shared" si="61"/>
        <v>900</v>
      </c>
      <c r="V967">
        <f t="shared" si="62"/>
        <v>854632</v>
      </c>
      <c r="W967">
        <f t="shared" si="63"/>
        <v>24264</v>
      </c>
    </row>
    <row r="968" spans="1:23" x14ac:dyDescent="0.25">
      <c r="A968" s="204">
        <v>7203454549</v>
      </c>
      <c r="B968" s="204">
        <v>5638056229</v>
      </c>
      <c r="C968" s="196" t="s">
        <v>403</v>
      </c>
      <c r="D968" s="5">
        <v>6234000600</v>
      </c>
      <c r="E968" s="195">
        <v>44609</v>
      </c>
      <c r="F968" s="200">
        <v>27100</v>
      </c>
      <c r="G968" s="4" t="s">
        <v>421</v>
      </c>
      <c r="H968" s="204">
        <v>5506225174</v>
      </c>
      <c r="I968" s="199">
        <v>3700</v>
      </c>
      <c r="J968" s="201">
        <v>26.4</v>
      </c>
      <c r="K968" s="197" t="s">
        <v>104</v>
      </c>
      <c r="L968" s="3" t="s">
        <v>122</v>
      </c>
      <c r="M968" s="6"/>
      <c r="N968" s="6"/>
      <c r="O968" s="198">
        <v>31700</v>
      </c>
      <c r="P968" s="6"/>
      <c r="Q968" s="202">
        <v>26.4</v>
      </c>
      <c r="R968" s="204">
        <v>26.4</v>
      </c>
      <c r="S968" t="s">
        <v>433</v>
      </c>
      <c r="T968">
        <f t="shared" si="60"/>
        <v>813120</v>
      </c>
      <c r="U968">
        <f t="shared" si="61"/>
        <v>900</v>
      </c>
      <c r="V968">
        <f t="shared" si="62"/>
        <v>836880</v>
      </c>
      <c r="W968">
        <f t="shared" si="63"/>
        <v>23760</v>
      </c>
    </row>
    <row r="969" spans="1:23" x14ac:dyDescent="0.25">
      <c r="A969" s="204">
        <v>7203454549</v>
      </c>
      <c r="B969" s="204">
        <v>5638056229</v>
      </c>
      <c r="C969" s="196" t="s">
        <v>403</v>
      </c>
      <c r="D969" s="5">
        <v>6234000600</v>
      </c>
      <c r="E969" s="195">
        <v>44610</v>
      </c>
      <c r="F969" s="200">
        <v>27100</v>
      </c>
      <c r="G969" s="4" t="s">
        <v>421</v>
      </c>
      <c r="H969" s="204">
        <v>5501132737</v>
      </c>
      <c r="I969" s="199">
        <v>3700</v>
      </c>
      <c r="J969" s="201">
        <v>25.88</v>
      </c>
      <c r="K969" s="3" t="s">
        <v>197</v>
      </c>
      <c r="L969" s="3" t="s">
        <v>300</v>
      </c>
      <c r="M969" s="6"/>
      <c r="N969" s="6"/>
      <c r="O969" s="198">
        <v>31700</v>
      </c>
      <c r="P969" s="6"/>
      <c r="Q969" s="202">
        <v>25.88</v>
      </c>
      <c r="R969" s="204">
        <v>25.88</v>
      </c>
      <c r="S969" t="s">
        <v>433</v>
      </c>
      <c r="T969">
        <f t="shared" si="60"/>
        <v>797104</v>
      </c>
      <c r="U969">
        <f t="shared" si="61"/>
        <v>900</v>
      </c>
      <c r="V969">
        <f t="shared" si="62"/>
        <v>820396</v>
      </c>
      <c r="W969">
        <f t="shared" si="63"/>
        <v>23292</v>
      </c>
    </row>
    <row r="970" spans="1:23" x14ac:dyDescent="0.25">
      <c r="A970" s="204">
        <v>7203454549</v>
      </c>
      <c r="B970" s="204">
        <v>5638056229</v>
      </c>
      <c r="C970" s="196" t="s">
        <v>403</v>
      </c>
      <c r="D970" s="5">
        <v>6234000600</v>
      </c>
      <c r="E970" s="195">
        <v>44610</v>
      </c>
      <c r="F970" s="200">
        <v>27100</v>
      </c>
      <c r="G970" s="4" t="s">
        <v>421</v>
      </c>
      <c r="H970" s="204">
        <v>5501132737</v>
      </c>
      <c r="I970" s="199">
        <v>3700</v>
      </c>
      <c r="J970" s="201">
        <v>26.16</v>
      </c>
      <c r="K970" s="3" t="s">
        <v>114</v>
      </c>
      <c r="L970" s="3" t="s">
        <v>130</v>
      </c>
      <c r="M970" s="6"/>
      <c r="N970" s="6"/>
      <c r="O970" s="198">
        <v>31700</v>
      </c>
      <c r="P970" s="6"/>
      <c r="Q970" s="202">
        <v>26.16</v>
      </c>
      <c r="R970" s="204">
        <v>26.16</v>
      </c>
      <c r="S970" t="s">
        <v>433</v>
      </c>
      <c r="T970">
        <f t="shared" si="60"/>
        <v>805728</v>
      </c>
      <c r="U970">
        <f t="shared" si="61"/>
        <v>900</v>
      </c>
      <c r="V970">
        <f t="shared" si="62"/>
        <v>829272</v>
      </c>
      <c r="W970">
        <f t="shared" si="63"/>
        <v>23544</v>
      </c>
    </row>
    <row r="971" spans="1:23" x14ac:dyDescent="0.25">
      <c r="A971" s="204">
        <v>7203454549</v>
      </c>
      <c r="B971" s="204">
        <v>5638056229</v>
      </c>
      <c r="C971" s="196" t="s">
        <v>403</v>
      </c>
      <c r="D971" s="5">
        <v>6234000600</v>
      </c>
      <c r="E971" s="195">
        <v>44610</v>
      </c>
      <c r="F971" s="200">
        <v>27100</v>
      </c>
      <c r="G971" s="4" t="s">
        <v>421</v>
      </c>
      <c r="H971" s="204">
        <v>5501132737</v>
      </c>
      <c r="I971" s="199">
        <v>3700</v>
      </c>
      <c r="J971" s="201">
        <v>26.3</v>
      </c>
      <c r="K971" s="3" t="s">
        <v>211</v>
      </c>
      <c r="L971" s="3" t="s">
        <v>36</v>
      </c>
      <c r="M971" s="6"/>
      <c r="N971" s="6"/>
      <c r="O971" s="198">
        <v>31700</v>
      </c>
      <c r="P971" s="6"/>
      <c r="Q971" s="202">
        <v>26.3</v>
      </c>
      <c r="R971" s="204">
        <v>26.3</v>
      </c>
      <c r="S971" t="s">
        <v>433</v>
      </c>
      <c r="T971">
        <f t="shared" si="60"/>
        <v>810040</v>
      </c>
      <c r="U971">
        <f t="shared" si="61"/>
        <v>900</v>
      </c>
      <c r="V971">
        <f t="shared" si="62"/>
        <v>833710</v>
      </c>
      <c r="W971">
        <f t="shared" si="63"/>
        <v>23670</v>
      </c>
    </row>
    <row r="972" spans="1:23" x14ac:dyDescent="0.25">
      <c r="A972" s="204">
        <v>7203454549</v>
      </c>
      <c r="B972" s="204">
        <v>5638056229</v>
      </c>
      <c r="C972" s="196" t="s">
        <v>403</v>
      </c>
      <c r="D972" s="5">
        <v>6234000600</v>
      </c>
      <c r="E972" s="195">
        <v>44610</v>
      </c>
      <c r="F972" s="200">
        <v>27100</v>
      </c>
      <c r="G972" s="4" t="s">
        <v>421</v>
      </c>
      <c r="H972" s="204">
        <v>5501132737</v>
      </c>
      <c r="I972" s="199">
        <v>3700</v>
      </c>
      <c r="J972" s="201">
        <v>26.1</v>
      </c>
      <c r="K972" s="3" t="s">
        <v>107</v>
      </c>
      <c r="L972" s="3" t="s">
        <v>125</v>
      </c>
      <c r="M972" s="6"/>
      <c r="N972" s="6"/>
      <c r="O972" s="198">
        <v>31700</v>
      </c>
      <c r="P972" s="6"/>
      <c r="Q972" s="202">
        <v>26.1</v>
      </c>
      <c r="R972" s="204">
        <v>26.1</v>
      </c>
      <c r="S972" t="s">
        <v>433</v>
      </c>
      <c r="T972">
        <f t="shared" si="60"/>
        <v>803880</v>
      </c>
      <c r="U972">
        <f t="shared" si="61"/>
        <v>900</v>
      </c>
      <c r="V972">
        <f t="shared" si="62"/>
        <v>827370</v>
      </c>
      <c r="W972">
        <f t="shared" si="63"/>
        <v>23490</v>
      </c>
    </row>
    <row r="973" spans="1:23" x14ac:dyDescent="0.25">
      <c r="A973" s="204">
        <v>7203454549</v>
      </c>
      <c r="B973" s="204">
        <v>5638056229</v>
      </c>
      <c r="C973" s="196" t="s">
        <v>403</v>
      </c>
      <c r="D973" s="5">
        <v>6234000600</v>
      </c>
      <c r="E973" s="195">
        <v>44611</v>
      </c>
      <c r="F973" s="200">
        <v>27100</v>
      </c>
      <c r="G973" s="4" t="s">
        <v>421</v>
      </c>
      <c r="H973" s="204">
        <v>5501132737</v>
      </c>
      <c r="I973" s="199">
        <v>3700</v>
      </c>
      <c r="J973" s="201">
        <v>26.4</v>
      </c>
      <c r="K973" s="3" t="s">
        <v>16</v>
      </c>
      <c r="L973" s="3" t="s">
        <v>35</v>
      </c>
      <c r="M973" s="6"/>
      <c r="N973" s="6"/>
      <c r="O973" s="198">
        <v>31700</v>
      </c>
      <c r="P973" s="6"/>
      <c r="Q973" s="202">
        <v>26.4</v>
      </c>
      <c r="R973" s="204">
        <v>26.4</v>
      </c>
      <c r="S973" t="s">
        <v>433</v>
      </c>
      <c r="T973">
        <f t="shared" si="60"/>
        <v>813120</v>
      </c>
      <c r="U973">
        <f t="shared" si="61"/>
        <v>900</v>
      </c>
      <c r="V973">
        <f t="shared" si="62"/>
        <v>836880</v>
      </c>
      <c r="W973">
        <f t="shared" si="63"/>
        <v>23760</v>
      </c>
    </row>
    <row r="974" spans="1:23" x14ac:dyDescent="0.25">
      <c r="A974" s="204">
        <v>7203454549</v>
      </c>
      <c r="B974" s="204">
        <v>5638056229</v>
      </c>
      <c r="C974" s="196" t="s">
        <v>403</v>
      </c>
      <c r="D974" s="5">
        <v>6234000600</v>
      </c>
      <c r="E974" s="195">
        <v>44611</v>
      </c>
      <c r="F974" s="200">
        <v>27100</v>
      </c>
      <c r="G974" s="4" t="s">
        <v>421</v>
      </c>
      <c r="H974" s="204">
        <v>5501132737</v>
      </c>
      <c r="I974" s="199">
        <v>3700</v>
      </c>
      <c r="J974" s="201">
        <v>26.74</v>
      </c>
      <c r="K974" s="3" t="s">
        <v>209</v>
      </c>
      <c r="L974" s="3" t="s">
        <v>411</v>
      </c>
      <c r="M974" s="6"/>
      <c r="N974" s="6"/>
      <c r="O974" s="198">
        <v>31700</v>
      </c>
      <c r="P974" s="6"/>
      <c r="Q974" s="202">
        <v>26.74</v>
      </c>
      <c r="R974" s="204">
        <v>26.74</v>
      </c>
      <c r="S974" t="s">
        <v>433</v>
      </c>
      <c r="T974">
        <f t="shared" si="60"/>
        <v>823592</v>
      </c>
      <c r="U974">
        <f t="shared" si="61"/>
        <v>900</v>
      </c>
      <c r="V974">
        <f t="shared" si="62"/>
        <v>847658</v>
      </c>
      <c r="W974">
        <f t="shared" si="63"/>
        <v>24066</v>
      </c>
    </row>
    <row r="975" spans="1:23" x14ac:dyDescent="0.25">
      <c r="A975" s="204">
        <v>7203454549</v>
      </c>
      <c r="B975" s="204">
        <v>5638056229</v>
      </c>
      <c r="C975" s="196" t="s">
        <v>403</v>
      </c>
      <c r="D975" s="5">
        <v>6234000600</v>
      </c>
      <c r="E975" s="195">
        <v>44614</v>
      </c>
      <c r="F975" s="200">
        <v>27100</v>
      </c>
      <c r="G975" s="4" t="s">
        <v>421</v>
      </c>
      <c r="H975" s="204">
        <v>5501132737</v>
      </c>
      <c r="I975" s="199">
        <v>3700</v>
      </c>
      <c r="J975" s="201">
        <v>25.96</v>
      </c>
      <c r="K975" s="3" t="s">
        <v>197</v>
      </c>
      <c r="L975" s="3" t="s">
        <v>300</v>
      </c>
      <c r="M975" s="6"/>
      <c r="N975" s="6"/>
      <c r="O975" s="198">
        <v>31700</v>
      </c>
      <c r="P975" s="6"/>
      <c r="Q975" s="202">
        <v>25.96</v>
      </c>
      <c r="R975" s="204">
        <v>25.96</v>
      </c>
      <c r="S975" t="s">
        <v>433</v>
      </c>
      <c r="T975">
        <f t="shared" si="60"/>
        <v>799568</v>
      </c>
      <c r="U975">
        <f t="shared" si="61"/>
        <v>900</v>
      </c>
      <c r="V975">
        <f t="shared" si="62"/>
        <v>822932</v>
      </c>
      <c r="W975">
        <f t="shared" si="63"/>
        <v>23364</v>
      </c>
    </row>
    <row r="976" spans="1:23" x14ac:dyDescent="0.25">
      <c r="A976" s="204">
        <v>7203454549</v>
      </c>
      <c r="B976" s="204">
        <v>5638056229</v>
      </c>
      <c r="C976" s="196" t="s">
        <v>403</v>
      </c>
      <c r="D976" s="5">
        <v>6234000600</v>
      </c>
      <c r="E976" s="195">
        <v>44614</v>
      </c>
      <c r="F976" s="200">
        <v>27100</v>
      </c>
      <c r="G976" s="4" t="s">
        <v>421</v>
      </c>
      <c r="H976" s="204">
        <v>5501132737</v>
      </c>
      <c r="I976" s="199">
        <v>3700</v>
      </c>
      <c r="J976" s="201">
        <v>25.94</v>
      </c>
      <c r="K976" s="3" t="s">
        <v>195</v>
      </c>
      <c r="L976" s="3" t="s">
        <v>299</v>
      </c>
      <c r="M976" s="6"/>
      <c r="N976" s="6"/>
      <c r="O976" s="198">
        <v>31700</v>
      </c>
      <c r="P976" s="6"/>
      <c r="Q976" s="202">
        <v>25.94</v>
      </c>
      <c r="R976" s="204">
        <v>25.94</v>
      </c>
      <c r="S976" t="s">
        <v>433</v>
      </c>
      <c r="T976">
        <f t="shared" si="60"/>
        <v>798952</v>
      </c>
      <c r="U976">
        <f t="shared" si="61"/>
        <v>900</v>
      </c>
      <c r="V976">
        <f t="shared" si="62"/>
        <v>822298</v>
      </c>
      <c r="W976">
        <f t="shared" si="63"/>
        <v>23346</v>
      </c>
    </row>
    <row r="977" spans="1:23" x14ac:dyDescent="0.25">
      <c r="A977" s="204">
        <v>7203454549</v>
      </c>
      <c r="B977" s="204">
        <v>5638056229</v>
      </c>
      <c r="C977" s="196" t="s">
        <v>403</v>
      </c>
      <c r="D977" s="5">
        <v>6234000600</v>
      </c>
      <c r="E977" s="195">
        <v>44614</v>
      </c>
      <c r="F977" s="200">
        <v>27100</v>
      </c>
      <c r="G977" s="4" t="s">
        <v>421</v>
      </c>
      <c r="H977" s="204">
        <v>5501132737</v>
      </c>
      <c r="I977" s="199">
        <v>3700</v>
      </c>
      <c r="J977" s="201">
        <v>26.26</v>
      </c>
      <c r="K977" s="3" t="s">
        <v>189</v>
      </c>
      <c r="L977" s="3" t="s">
        <v>413</v>
      </c>
      <c r="M977" s="6"/>
      <c r="N977" s="6"/>
      <c r="O977" s="198">
        <v>31700</v>
      </c>
      <c r="P977" s="6"/>
      <c r="Q977" s="202">
        <v>26.26</v>
      </c>
      <c r="R977" s="204">
        <v>26.26</v>
      </c>
      <c r="S977" t="s">
        <v>433</v>
      </c>
      <c r="T977">
        <f t="shared" si="60"/>
        <v>808808</v>
      </c>
      <c r="U977">
        <f t="shared" si="61"/>
        <v>900</v>
      </c>
      <c r="V977">
        <f t="shared" si="62"/>
        <v>832442</v>
      </c>
      <c r="W977">
        <f t="shared" si="63"/>
        <v>23634</v>
      </c>
    </row>
    <row r="978" spans="1:23" x14ac:dyDescent="0.25">
      <c r="A978" s="204">
        <v>7203454549</v>
      </c>
      <c r="B978" s="204">
        <v>5638056229</v>
      </c>
      <c r="C978" s="196" t="s">
        <v>403</v>
      </c>
      <c r="D978" s="5">
        <v>6234000600</v>
      </c>
      <c r="E978" s="195">
        <v>44614</v>
      </c>
      <c r="F978" s="200">
        <v>27100</v>
      </c>
      <c r="G978" s="4" t="s">
        <v>421</v>
      </c>
      <c r="H978" s="204">
        <v>5501132737</v>
      </c>
      <c r="I978" s="199">
        <v>3700</v>
      </c>
      <c r="J978" s="201">
        <v>26.52</v>
      </c>
      <c r="K978" s="3" t="s">
        <v>109</v>
      </c>
      <c r="L978" s="3" t="s">
        <v>126</v>
      </c>
      <c r="M978" s="6"/>
      <c r="N978" s="6"/>
      <c r="O978" s="198">
        <v>31700</v>
      </c>
      <c r="P978" s="6"/>
      <c r="Q978" s="202">
        <v>26.52</v>
      </c>
      <c r="R978" s="204">
        <v>26.52</v>
      </c>
      <c r="S978" t="s">
        <v>433</v>
      </c>
      <c r="T978">
        <f t="shared" si="60"/>
        <v>816816</v>
      </c>
      <c r="U978">
        <f t="shared" si="61"/>
        <v>900</v>
      </c>
      <c r="V978">
        <f t="shared" si="62"/>
        <v>840684</v>
      </c>
      <c r="W978">
        <f t="shared" si="63"/>
        <v>23868</v>
      </c>
    </row>
    <row r="979" spans="1:23" x14ac:dyDescent="0.25">
      <c r="A979" s="204">
        <v>7203454549</v>
      </c>
      <c r="B979" s="204">
        <v>5638056229</v>
      </c>
      <c r="C979" s="196" t="s">
        <v>403</v>
      </c>
      <c r="D979" s="5">
        <v>6234000600</v>
      </c>
      <c r="E979" s="195">
        <v>44620</v>
      </c>
      <c r="F979" s="200">
        <v>27100</v>
      </c>
      <c r="G979" s="4" t="s">
        <v>421</v>
      </c>
      <c r="H979" s="204">
        <v>5501132737</v>
      </c>
      <c r="I979" s="199">
        <v>3700</v>
      </c>
      <c r="J979" s="201">
        <v>25.78</v>
      </c>
      <c r="K979" s="3" t="s">
        <v>195</v>
      </c>
      <c r="L979" s="3" t="s">
        <v>299</v>
      </c>
      <c r="M979" s="6"/>
      <c r="N979" s="6"/>
      <c r="O979" s="198">
        <v>31700</v>
      </c>
      <c r="P979" s="6"/>
      <c r="Q979" s="202">
        <v>25.78</v>
      </c>
      <c r="R979" s="204">
        <v>25.78</v>
      </c>
      <c r="S979" t="s">
        <v>433</v>
      </c>
      <c r="T979">
        <f t="shared" si="60"/>
        <v>794024</v>
      </c>
      <c r="U979">
        <f t="shared" si="61"/>
        <v>900</v>
      </c>
      <c r="V979">
        <f t="shared" si="62"/>
        <v>817226</v>
      </c>
      <c r="W979">
        <f t="shared" si="63"/>
        <v>23202</v>
      </c>
    </row>
    <row r="980" spans="1:23" x14ac:dyDescent="0.25">
      <c r="A980" s="204">
        <v>7203454549</v>
      </c>
      <c r="B980" s="204">
        <v>5638056229</v>
      </c>
      <c r="C980" s="196" t="s">
        <v>403</v>
      </c>
      <c r="D980" s="5">
        <v>6234000600</v>
      </c>
      <c r="E980" s="195">
        <v>44620</v>
      </c>
      <c r="F980" s="200">
        <v>27100</v>
      </c>
      <c r="G980" s="4" t="s">
        <v>421</v>
      </c>
      <c r="H980" s="204">
        <v>5501132737</v>
      </c>
      <c r="I980" s="199">
        <v>3700</v>
      </c>
      <c r="J980" s="201">
        <v>26.72</v>
      </c>
      <c r="K980" s="3" t="s">
        <v>189</v>
      </c>
      <c r="L980" s="3" t="s">
        <v>413</v>
      </c>
      <c r="M980" s="6"/>
      <c r="N980" s="6"/>
      <c r="O980" s="198">
        <v>31700</v>
      </c>
      <c r="P980" s="6"/>
      <c r="Q980" s="202">
        <v>26.72</v>
      </c>
      <c r="R980" s="204">
        <v>26.72</v>
      </c>
      <c r="S980" t="s">
        <v>433</v>
      </c>
      <c r="T980">
        <f t="shared" si="60"/>
        <v>822976</v>
      </c>
      <c r="U980">
        <f t="shared" si="61"/>
        <v>900</v>
      </c>
      <c r="V980">
        <f t="shared" si="62"/>
        <v>847024</v>
      </c>
      <c r="W980">
        <f t="shared" si="63"/>
        <v>24048</v>
      </c>
    </row>
    <row r="981" spans="1:23" x14ac:dyDescent="0.25">
      <c r="A981" s="204">
        <v>7203454549</v>
      </c>
      <c r="B981" s="204">
        <v>5638056229</v>
      </c>
      <c r="C981" s="196" t="s">
        <v>403</v>
      </c>
      <c r="D981" s="5">
        <v>6234000600</v>
      </c>
      <c r="E981" s="195">
        <v>44620</v>
      </c>
      <c r="F981" s="200">
        <v>27100</v>
      </c>
      <c r="G981" s="4" t="s">
        <v>421</v>
      </c>
      <c r="H981" s="204">
        <v>5501132737</v>
      </c>
      <c r="I981" s="199">
        <v>3700</v>
      </c>
      <c r="J981" s="201">
        <v>24.02</v>
      </c>
      <c r="K981" s="3" t="s">
        <v>182</v>
      </c>
      <c r="L981" s="3" t="s">
        <v>226</v>
      </c>
      <c r="M981" s="6"/>
      <c r="N981" s="6"/>
      <c r="O981" s="198">
        <v>31700</v>
      </c>
      <c r="P981" s="6"/>
      <c r="Q981" s="202">
        <v>24.02</v>
      </c>
      <c r="R981" s="204">
        <v>24.02</v>
      </c>
      <c r="S981" t="s">
        <v>433</v>
      </c>
      <c r="T981">
        <f t="shared" si="60"/>
        <v>739816</v>
      </c>
      <c r="U981">
        <f t="shared" si="61"/>
        <v>900</v>
      </c>
      <c r="V981">
        <f t="shared" si="62"/>
        <v>761434</v>
      </c>
      <c r="W981">
        <f t="shared" si="63"/>
        <v>21618</v>
      </c>
    </row>
    <row r="982" spans="1:23" x14ac:dyDescent="0.25">
      <c r="A982" s="204">
        <v>7203454549</v>
      </c>
      <c r="B982" s="204">
        <v>5638056229</v>
      </c>
      <c r="C982" s="196" t="s">
        <v>403</v>
      </c>
      <c r="D982" s="5">
        <v>6234000600</v>
      </c>
      <c r="E982" s="195">
        <v>44620</v>
      </c>
      <c r="F982" s="200">
        <v>27100</v>
      </c>
      <c r="G982" s="4" t="s">
        <v>421</v>
      </c>
      <c r="H982" s="204">
        <v>5501132737</v>
      </c>
      <c r="I982" s="199">
        <v>3700</v>
      </c>
      <c r="J982" s="201">
        <v>24.34</v>
      </c>
      <c r="K982" s="3" t="s">
        <v>216</v>
      </c>
      <c r="L982" s="3" t="s">
        <v>414</v>
      </c>
      <c r="M982" s="6"/>
      <c r="N982" s="6"/>
      <c r="O982" s="198">
        <v>31700</v>
      </c>
      <c r="P982" s="6"/>
      <c r="Q982" s="202">
        <v>24.34</v>
      </c>
      <c r="R982" s="204">
        <v>24.34</v>
      </c>
      <c r="S982" t="s">
        <v>433</v>
      </c>
      <c r="T982">
        <f t="shared" si="60"/>
        <v>749672</v>
      </c>
      <c r="U982">
        <f t="shared" si="61"/>
        <v>900</v>
      </c>
      <c r="V982">
        <f t="shared" si="62"/>
        <v>771578</v>
      </c>
      <c r="W982">
        <f t="shared" si="63"/>
        <v>21906</v>
      </c>
    </row>
    <row r="983" spans="1:23" x14ac:dyDescent="0.25">
      <c r="A983" s="209">
        <v>8602260410</v>
      </c>
      <c r="B983" s="4">
        <v>5505032437</v>
      </c>
      <c r="C983" s="22"/>
      <c r="D983" s="5">
        <v>6234000600</v>
      </c>
      <c r="E983" s="206">
        <v>44661</v>
      </c>
      <c r="F983" s="208">
        <v>27500</v>
      </c>
      <c r="G983" s="4" t="s">
        <v>1</v>
      </c>
      <c r="H983" s="24"/>
      <c r="I983" s="4">
        <v>0</v>
      </c>
      <c r="J983" s="205">
        <v>26.08</v>
      </c>
      <c r="K983" s="24"/>
      <c r="L983" s="24"/>
      <c r="M983" s="24"/>
      <c r="N983" s="24"/>
      <c r="O983" s="209">
        <v>28100</v>
      </c>
      <c r="P983" s="24"/>
      <c r="Q983" s="205">
        <v>26.08</v>
      </c>
      <c r="R983" s="205">
        <v>26.08</v>
      </c>
      <c r="S983" t="s">
        <v>433</v>
      </c>
      <c r="T983">
        <f t="shared" si="60"/>
        <v>717200</v>
      </c>
      <c r="U983">
        <f t="shared" si="61"/>
        <v>600</v>
      </c>
      <c r="V983">
        <f t="shared" si="62"/>
        <v>732848</v>
      </c>
      <c r="W983">
        <f t="shared" si="63"/>
        <v>15648</v>
      </c>
    </row>
    <row r="984" spans="1:23" x14ac:dyDescent="0.25">
      <c r="A984" s="209">
        <v>8602260410</v>
      </c>
      <c r="B984" s="4">
        <v>5505032437</v>
      </c>
      <c r="C984" s="22"/>
      <c r="D984" s="5">
        <v>6234000600</v>
      </c>
      <c r="E984" s="206">
        <v>44662</v>
      </c>
      <c r="F984" s="208">
        <v>27500</v>
      </c>
      <c r="G984" s="4" t="s">
        <v>1</v>
      </c>
      <c r="H984" s="24"/>
      <c r="I984" s="4">
        <v>0</v>
      </c>
      <c r="J984" s="205">
        <v>25.86</v>
      </c>
      <c r="K984" s="24"/>
      <c r="L984" s="24"/>
      <c r="M984" s="24"/>
      <c r="N984" s="24"/>
      <c r="O984" s="209">
        <v>28100</v>
      </c>
      <c r="P984" s="24"/>
      <c r="Q984" s="205">
        <v>25.86</v>
      </c>
      <c r="R984" s="205">
        <v>25.86</v>
      </c>
      <c r="S984" t="s">
        <v>433</v>
      </c>
      <c r="T984">
        <f t="shared" si="60"/>
        <v>711150</v>
      </c>
      <c r="U984">
        <f t="shared" si="61"/>
        <v>600</v>
      </c>
      <c r="V984">
        <f t="shared" si="62"/>
        <v>726666</v>
      </c>
      <c r="W984">
        <f t="shared" si="63"/>
        <v>15516</v>
      </c>
    </row>
    <row r="985" spans="1:23" x14ac:dyDescent="0.25">
      <c r="A985" s="209">
        <v>8602260410</v>
      </c>
      <c r="B985" s="4">
        <v>5505032437</v>
      </c>
      <c r="C985" s="22"/>
      <c r="D985" s="5">
        <v>6234000600</v>
      </c>
      <c r="E985" s="206">
        <v>44662</v>
      </c>
      <c r="F985" s="208">
        <v>27500</v>
      </c>
      <c r="G985" s="4" t="s">
        <v>1</v>
      </c>
      <c r="H985" s="24"/>
      <c r="I985" s="4">
        <v>0</v>
      </c>
      <c r="J985" s="205">
        <v>26.94</v>
      </c>
      <c r="K985" s="24"/>
      <c r="L985" s="24"/>
      <c r="M985" s="24"/>
      <c r="N985" s="24"/>
      <c r="O985" s="209">
        <v>28100</v>
      </c>
      <c r="P985" s="24"/>
      <c r="Q985" s="205">
        <v>26.94</v>
      </c>
      <c r="R985" s="205">
        <v>26.94</v>
      </c>
      <c r="S985" t="s">
        <v>433</v>
      </c>
      <c r="T985">
        <f t="shared" si="60"/>
        <v>740850</v>
      </c>
      <c r="U985">
        <f t="shared" si="61"/>
        <v>600</v>
      </c>
      <c r="V985">
        <f t="shared" si="62"/>
        <v>757014</v>
      </c>
      <c r="W985">
        <f t="shared" si="63"/>
        <v>16164</v>
      </c>
    </row>
    <row r="986" spans="1:23" x14ac:dyDescent="0.25">
      <c r="A986" s="209">
        <v>8602260410</v>
      </c>
      <c r="B986" s="4">
        <v>5505032437</v>
      </c>
      <c r="C986" s="22"/>
      <c r="D986" s="5">
        <v>6234000600</v>
      </c>
      <c r="E986" s="206">
        <v>44662</v>
      </c>
      <c r="F986" s="208">
        <v>27500</v>
      </c>
      <c r="G986" s="4" t="s">
        <v>1</v>
      </c>
      <c r="H986" s="24"/>
      <c r="I986" s="4">
        <v>0</v>
      </c>
      <c r="J986" s="205">
        <v>25.28</v>
      </c>
      <c r="K986" s="24"/>
      <c r="L986" s="24"/>
      <c r="M986" s="24"/>
      <c r="N986" s="24"/>
      <c r="O986" s="209">
        <v>28100</v>
      </c>
      <c r="P986" s="24"/>
      <c r="Q986" s="205">
        <v>25.28</v>
      </c>
      <c r="R986" s="205">
        <v>25.28</v>
      </c>
      <c r="S986" t="s">
        <v>433</v>
      </c>
      <c r="T986">
        <f t="shared" si="60"/>
        <v>695200</v>
      </c>
      <c r="U986">
        <f t="shared" si="61"/>
        <v>600</v>
      </c>
      <c r="V986">
        <f t="shared" si="62"/>
        <v>710368</v>
      </c>
      <c r="W986">
        <f t="shared" si="63"/>
        <v>15168</v>
      </c>
    </row>
    <row r="987" spans="1:23" x14ac:dyDescent="0.25">
      <c r="A987" s="209">
        <v>8602260410</v>
      </c>
      <c r="B987" s="4">
        <v>5505032437</v>
      </c>
      <c r="C987" s="22"/>
      <c r="D987" s="5">
        <v>6234000600</v>
      </c>
      <c r="E987" s="206">
        <v>44664</v>
      </c>
      <c r="F987" s="208">
        <v>27500</v>
      </c>
      <c r="G987" s="4" t="s">
        <v>1</v>
      </c>
      <c r="H987" s="24"/>
      <c r="I987" s="4">
        <v>0</v>
      </c>
      <c r="J987" s="207">
        <v>25.96</v>
      </c>
      <c r="K987" s="24"/>
      <c r="L987" s="24"/>
      <c r="M987" s="24"/>
      <c r="N987" s="24"/>
      <c r="O987" s="209">
        <v>28100</v>
      </c>
      <c r="P987" s="24"/>
      <c r="Q987" s="207">
        <v>25.96</v>
      </c>
      <c r="R987" s="207">
        <v>25.96</v>
      </c>
      <c r="S987" t="s">
        <v>433</v>
      </c>
      <c r="T987">
        <f t="shared" si="60"/>
        <v>713900</v>
      </c>
      <c r="U987">
        <f t="shared" si="61"/>
        <v>600</v>
      </c>
      <c r="V987">
        <f t="shared" si="62"/>
        <v>729476</v>
      </c>
      <c r="W987">
        <f t="shared" si="63"/>
        <v>15576</v>
      </c>
    </row>
    <row r="988" spans="1:23" x14ac:dyDescent="0.25">
      <c r="A988" s="209">
        <v>8602260410</v>
      </c>
      <c r="B988" s="4">
        <v>5505032437</v>
      </c>
      <c r="C988" s="22"/>
      <c r="D988" s="5">
        <v>6234000600</v>
      </c>
      <c r="E988" s="206">
        <v>44664</v>
      </c>
      <c r="F988" s="208">
        <v>27500</v>
      </c>
      <c r="G988" s="4" t="s">
        <v>1</v>
      </c>
      <c r="H988" s="24"/>
      <c r="I988" s="4">
        <v>0</v>
      </c>
      <c r="J988" s="207">
        <v>26.7</v>
      </c>
      <c r="K988" s="24"/>
      <c r="L988" s="24"/>
      <c r="M988" s="24"/>
      <c r="N988" s="24"/>
      <c r="O988" s="209">
        <v>28100</v>
      </c>
      <c r="P988" s="24"/>
      <c r="Q988" s="207">
        <v>26.7</v>
      </c>
      <c r="R988" s="207">
        <v>26.7</v>
      </c>
      <c r="S988" t="s">
        <v>433</v>
      </c>
      <c r="T988">
        <f t="shared" si="60"/>
        <v>734250</v>
      </c>
      <c r="U988">
        <f t="shared" si="61"/>
        <v>600</v>
      </c>
      <c r="V988">
        <f t="shared" si="62"/>
        <v>750270</v>
      </c>
      <c r="W988">
        <f t="shared" si="63"/>
        <v>16020</v>
      </c>
    </row>
    <row r="989" spans="1:23" x14ac:dyDescent="0.25">
      <c r="A989" s="209">
        <v>8602260410</v>
      </c>
      <c r="B989" s="4">
        <v>5505032437</v>
      </c>
      <c r="C989" s="22"/>
      <c r="D989" s="5">
        <v>6234000600</v>
      </c>
      <c r="E989" s="206">
        <v>44664</v>
      </c>
      <c r="F989" s="208">
        <v>27500</v>
      </c>
      <c r="G989" s="4" t="s">
        <v>1</v>
      </c>
      <c r="H989" s="24"/>
      <c r="I989" s="4">
        <v>0</v>
      </c>
      <c r="J989" s="207">
        <v>26.48</v>
      </c>
      <c r="K989" s="24"/>
      <c r="L989" s="24"/>
      <c r="M989" s="24"/>
      <c r="N989" s="24"/>
      <c r="O989" s="209">
        <v>28100</v>
      </c>
      <c r="P989" s="24"/>
      <c r="Q989" s="207">
        <v>26.48</v>
      </c>
      <c r="R989" s="207">
        <v>26.48</v>
      </c>
      <c r="S989" t="s">
        <v>433</v>
      </c>
      <c r="T989">
        <f t="shared" si="60"/>
        <v>728200</v>
      </c>
      <c r="U989">
        <f t="shared" si="61"/>
        <v>600</v>
      </c>
      <c r="V989">
        <f t="shared" si="62"/>
        <v>744088</v>
      </c>
      <c r="W989">
        <f t="shared" si="63"/>
        <v>15888</v>
      </c>
    </row>
    <row r="990" spans="1:23" x14ac:dyDescent="0.25">
      <c r="A990" s="209">
        <v>8602260410</v>
      </c>
      <c r="B990" s="4">
        <v>5505032437</v>
      </c>
      <c r="C990" s="22"/>
      <c r="D990" s="5">
        <v>6234000600</v>
      </c>
      <c r="E990" s="206">
        <v>44684</v>
      </c>
      <c r="F990" s="208">
        <v>27500</v>
      </c>
      <c r="G990" s="4" t="s">
        <v>1</v>
      </c>
      <c r="H990" s="24"/>
      <c r="I990" s="4">
        <v>0</v>
      </c>
      <c r="J990" s="205">
        <v>24.16</v>
      </c>
      <c r="K990" s="24"/>
      <c r="L990" s="24"/>
      <c r="M990" s="24"/>
      <c r="N990" s="24"/>
      <c r="O990" s="209">
        <v>27650</v>
      </c>
      <c r="P990" s="24"/>
      <c r="Q990" s="205">
        <v>24.16</v>
      </c>
      <c r="R990" s="205">
        <v>24.16</v>
      </c>
      <c r="S990" t="s">
        <v>433</v>
      </c>
      <c r="T990">
        <f t="shared" si="60"/>
        <v>664400</v>
      </c>
      <c r="U990">
        <f t="shared" si="61"/>
        <v>150</v>
      </c>
      <c r="V990">
        <f t="shared" si="62"/>
        <v>668024</v>
      </c>
      <c r="W990">
        <f t="shared" si="63"/>
        <v>3624</v>
      </c>
    </row>
    <row r="991" spans="1:23" x14ac:dyDescent="0.25">
      <c r="A991" s="212">
        <v>7203454549</v>
      </c>
      <c r="B991" s="4">
        <v>5501132737</v>
      </c>
      <c r="C991" s="22"/>
      <c r="D991" s="5">
        <v>6234000600</v>
      </c>
      <c r="E991" s="213">
        <v>44593</v>
      </c>
      <c r="F991" s="211">
        <v>26100</v>
      </c>
      <c r="G991" s="4" t="s">
        <v>1</v>
      </c>
      <c r="H991" s="24"/>
      <c r="I991" s="4">
        <v>0</v>
      </c>
      <c r="J991" s="210">
        <v>24.3</v>
      </c>
      <c r="K991" s="24"/>
      <c r="L991" s="24"/>
      <c r="M991" s="24"/>
      <c r="N991" s="24"/>
      <c r="O991" s="214">
        <v>26500</v>
      </c>
      <c r="P991" s="24"/>
      <c r="Q991" s="210">
        <v>24.3</v>
      </c>
      <c r="R991" s="210">
        <v>24.3</v>
      </c>
      <c r="S991" t="s">
        <v>433</v>
      </c>
      <c r="T991">
        <f t="shared" si="60"/>
        <v>634230</v>
      </c>
      <c r="U991">
        <f t="shared" si="61"/>
        <v>400</v>
      </c>
      <c r="V991">
        <f t="shared" si="62"/>
        <v>643950</v>
      </c>
      <c r="W991">
        <f t="shared" si="63"/>
        <v>9720</v>
      </c>
    </row>
    <row r="992" spans="1:23" x14ac:dyDescent="0.25">
      <c r="A992" s="212">
        <v>7203454549</v>
      </c>
      <c r="B992" s="4">
        <v>5501132737</v>
      </c>
      <c r="C992" s="22"/>
      <c r="D992" s="5">
        <v>6234000600</v>
      </c>
      <c r="E992" s="213">
        <v>44593</v>
      </c>
      <c r="F992" s="211">
        <v>26100</v>
      </c>
      <c r="G992" s="4" t="s">
        <v>1</v>
      </c>
      <c r="H992" s="24"/>
      <c r="I992" s="4">
        <v>0</v>
      </c>
      <c r="J992" s="210">
        <v>24.22</v>
      </c>
      <c r="K992" s="24"/>
      <c r="L992" s="24"/>
      <c r="M992" s="24"/>
      <c r="N992" s="24"/>
      <c r="O992" s="214">
        <v>26500</v>
      </c>
      <c r="P992" s="24"/>
      <c r="Q992" s="210">
        <v>24.22</v>
      </c>
      <c r="R992" s="210">
        <v>24.22</v>
      </c>
      <c r="S992" t="s">
        <v>433</v>
      </c>
      <c r="T992">
        <f t="shared" si="60"/>
        <v>632142</v>
      </c>
      <c r="U992">
        <f t="shared" si="61"/>
        <v>400</v>
      </c>
      <c r="V992">
        <f t="shared" si="62"/>
        <v>641830</v>
      </c>
      <c r="W992">
        <f t="shared" si="63"/>
        <v>9688</v>
      </c>
    </row>
    <row r="993" spans="1:23" x14ac:dyDescent="0.25">
      <c r="A993" s="212">
        <v>7203454549</v>
      </c>
      <c r="B993" s="4">
        <v>5501132737</v>
      </c>
      <c r="C993" s="22"/>
      <c r="D993" s="5">
        <v>6234000600</v>
      </c>
      <c r="E993" s="213">
        <v>44593</v>
      </c>
      <c r="F993" s="211">
        <v>26100</v>
      </c>
      <c r="G993" s="4" t="s">
        <v>1</v>
      </c>
      <c r="H993" s="24"/>
      <c r="I993" s="4">
        <v>0</v>
      </c>
      <c r="J993" s="210">
        <v>24.92</v>
      </c>
      <c r="K993" s="24"/>
      <c r="L993" s="24"/>
      <c r="M993" s="24"/>
      <c r="N993" s="24"/>
      <c r="O993" s="214">
        <v>26500</v>
      </c>
      <c r="P993" s="24"/>
      <c r="Q993" s="210">
        <v>24.92</v>
      </c>
      <c r="R993" s="210">
        <v>24.92</v>
      </c>
      <c r="S993" t="s">
        <v>433</v>
      </c>
      <c r="T993">
        <f t="shared" si="60"/>
        <v>650412</v>
      </c>
      <c r="U993">
        <f t="shared" si="61"/>
        <v>400</v>
      </c>
      <c r="V993">
        <f t="shared" si="62"/>
        <v>660380</v>
      </c>
      <c r="W993">
        <f t="shared" si="63"/>
        <v>9968</v>
      </c>
    </row>
    <row r="994" spans="1:23" x14ac:dyDescent="0.25">
      <c r="A994" s="212">
        <v>7203454549</v>
      </c>
      <c r="B994" s="4">
        <v>5501132737</v>
      </c>
      <c r="C994" s="22"/>
      <c r="D994" s="5">
        <v>6234000600</v>
      </c>
      <c r="E994" s="213">
        <v>44596</v>
      </c>
      <c r="F994" s="211">
        <v>26100</v>
      </c>
      <c r="G994" s="4" t="s">
        <v>1</v>
      </c>
      <c r="H994" s="24"/>
      <c r="I994" s="4">
        <v>0</v>
      </c>
      <c r="J994" s="210">
        <v>23.38</v>
      </c>
      <c r="K994" s="24"/>
      <c r="L994" s="24"/>
      <c r="M994" s="24"/>
      <c r="N994" s="24"/>
      <c r="O994" s="214">
        <v>26500</v>
      </c>
      <c r="P994" s="24"/>
      <c r="Q994" s="210">
        <v>23.38</v>
      </c>
      <c r="R994" s="210">
        <v>23.38</v>
      </c>
      <c r="S994" t="s">
        <v>433</v>
      </c>
      <c r="T994">
        <f t="shared" si="60"/>
        <v>610218</v>
      </c>
      <c r="U994">
        <f t="shared" si="61"/>
        <v>400</v>
      </c>
      <c r="V994">
        <f t="shared" si="62"/>
        <v>619570</v>
      </c>
      <c r="W994">
        <f t="shared" si="63"/>
        <v>9352</v>
      </c>
    </row>
    <row r="995" spans="1:23" x14ac:dyDescent="0.25">
      <c r="A995" s="212">
        <v>7203454549</v>
      </c>
      <c r="B995" s="4">
        <v>5501132737</v>
      </c>
      <c r="C995" s="22"/>
      <c r="D995" s="5">
        <v>6234000600</v>
      </c>
      <c r="E995" s="213">
        <v>44596</v>
      </c>
      <c r="F995" s="211">
        <v>26100</v>
      </c>
      <c r="G995" s="4" t="s">
        <v>1</v>
      </c>
      <c r="H995" s="24"/>
      <c r="I995" s="4">
        <v>0</v>
      </c>
      <c r="J995" s="210">
        <v>25.02</v>
      </c>
      <c r="K995" s="24"/>
      <c r="L995" s="24"/>
      <c r="M995" s="24"/>
      <c r="N995" s="24"/>
      <c r="O995" s="214">
        <v>26500</v>
      </c>
      <c r="P995" s="24"/>
      <c r="Q995" s="210">
        <v>25.02</v>
      </c>
      <c r="R995" s="210">
        <v>25.02</v>
      </c>
      <c r="S995" t="s">
        <v>433</v>
      </c>
      <c r="T995">
        <f t="shared" si="60"/>
        <v>653022</v>
      </c>
      <c r="U995">
        <f t="shared" si="61"/>
        <v>400</v>
      </c>
      <c r="V995">
        <f t="shared" si="62"/>
        <v>663030</v>
      </c>
      <c r="W995">
        <f t="shared" si="63"/>
        <v>10008</v>
      </c>
    </row>
    <row r="996" spans="1:23" x14ac:dyDescent="0.25">
      <c r="A996" s="212">
        <v>8602260410</v>
      </c>
      <c r="B996" s="4">
        <v>5501132737</v>
      </c>
      <c r="C996" s="22"/>
      <c r="D996" s="5">
        <v>6234000600</v>
      </c>
      <c r="E996" s="213">
        <v>44597</v>
      </c>
      <c r="F996" s="211">
        <v>26500</v>
      </c>
      <c r="G996" s="4" t="s">
        <v>1</v>
      </c>
      <c r="H996" s="24"/>
      <c r="I996" s="4">
        <v>0</v>
      </c>
      <c r="J996" s="210">
        <v>25.08</v>
      </c>
      <c r="K996" s="24"/>
      <c r="L996" s="24"/>
      <c r="M996" s="24"/>
      <c r="N996" s="24"/>
      <c r="O996" s="214">
        <v>26650</v>
      </c>
      <c r="P996" s="24"/>
      <c r="Q996" s="210">
        <v>25.08</v>
      </c>
      <c r="R996" s="210">
        <v>25.08</v>
      </c>
      <c r="S996" t="s">
        <v>433</v>
      </c>
      <c r="T996">
        <f t="shared" si="60"/>
        <v>664620</v>
      </c>
      <c r="U996">
        <f t="shared" si="61"/>
        <v>150</v>
      </c>
      <c r="V996">
        <f t="shared" si="62"/>
        <v>668382</v>
      </c>
      <c r="W996">
        <f t="shared" si="63"/>
        <v>3762</v>
      </c>
    </row>
    <row r="997" spans="1:23" x14ac:dyDescent="0.25">
      <c r="A997" s="212">
        <v>8602260410</v>
      </c>
      <c r="B997" s="4">
        <v>5501132737</v>
      </c>
      <c r="C997" s="22"/>
      <c r="D997" s="5">
        <v>6234000600</v>
      </c>
      <c r="E997" s="213">
        <v>44598</v>
      </c>
      <c r="F997" s="211">
        <v>26500</v>
      </c>
      <c r="G997" s="4" t="s">
        <v>1</v>
      </c>
      <c r="H997" s="24"/>
      <c r="I997" s="4">
        <v>0</v>
      </c>
      <c r="J997" s="210">
        <v>25.02</v>
      </c>
      <c r="K997" s="24"/>
      <c r="L997" s="24"/>
      <c r="M997" s="24"/>
      <c r="N997" s="24"/>
      <c r="O997" s="214">
        <v>26650</v>
      </c>
      <c r="P997" s="24"/>
      <c r="Q997" s="210">
        <v>25.02</v>
      </c>
      <c r="R997" s="210">
        <v>25.02</v>
      </c>
      <c r="S997" t="s">
        <v>433</v>
      </c>
      <c r="T997">
        <f t="shared" si="60"/>
        <v>663030</v>
      </c>
      <c r="U997">
        <f t="shared" si="61"/>
        <v>150</v>
      </c>
      <c r="V997">
        <f t="shared" si="62"/>
        <v>666783</v>
      </c>
      <c r="W997">
        <f t="shared" si="63"/>
        <v>3753</v>
      </c>
    </row>
    <row r="998" spans="1:23" x14ac:dyDescent="0.25">
      <c r="A998" s="212">
        <v>8602260410</v>
      </c>
      <c r="B998" s="4">
        <v>5501132737</v>
      </c>
      <c r="C998" s="22"/>
      <c r="D998" s="5">
        <v>6234000600</v>
      </c>
      <c r="E998" s="213">
        <v>44599</v>
      </c>
      <c r="F998" s="211">
        <v>26500</v>
      </c>
      <c r="G998" s="4" t="s">
        <v>1</v>
      </c>
      <c r="H998" s="24"/>
      <c r="I998" s="4">
        <v>0</v>
      </c>
      <c r="J998" s="210">
        <v>23.3</v>
      </c>
      <c r="K998" s="24"/>
      <c r="L998" s="24"/>
      <c r="M998" s="24"/>
      <c r="N998" s="24"/>
      <c r="O998" s="214">
        <v>26650</v>
      </c>
      <c r="P998" s="24"/>
      <c r="Q998" s="210">
        <v>23.3</v>
      </c>
      <c r="R998" s="210">
        <v>23.3</v>
      </c>
      <c r="S998" t="s">
        <v>433</v>
      </c>
      <c r="T998">
        <f t="shared" si="60"/>
        <v>617450</v>
      </c>
      <c r="U998">
        <f t="shared" si="61"/>
        <v>150</v>
      </c>
      <c r="V998">
        <f t="shared" si="62"/>
        <v>620945</v>
      </c>
      <c r="W998">
        <f t="shared" si="63"/>
        <v>3495</v>
      </c>
    </row>
    <row r="999" spans="1:23" x14ac:dyDescent="0.25">
      <c r="A999" s="212">
        <v>8602260410</v>
      </c>
      <c r="B999" s="4">
        <v>5501132737</v>
      </c>
      <c r="C999" s="22"/>
      <c r="D999" s="5">
        <v>6234000600</v>
      </c>
      <c r="E999" s="213">
        <v>44661</v>
      </c>
      <c r="F999" s="211">
        <v>27500</v>
      </c>
      <c r="G999" s="4" t="s">
        <v>1</v>
      </c>
      <c r="H999" s="24"/>
      <c r="I999" s="4">
        <v>0</v>
      </c>
      <c r="J999" s="210">
        <v>26.4</v>
      </c>
      <c r="K999" s="24"/>
      <c r="L999" s="24"/>
      <c r="M999" s="24"/>
      <c r="N999" s="24"/>
      <c r="O999" s="214">
        <v>27700</v>
      </c>
      <c r="P999" s="24"/>
      <c r="Q999" s="210">
        <v>26.4</v>
      </c>
      <c r="R999" s="210">
        <v>26.4</v>
      </c>
      <c r="S999" t="s">
        <v>433</v>
      </c>
      <c r="T999">
        <f t="shared" si="60"/>
        <v>726000</v>
      </c>
      <c r="U999">
        <f t="shared" si="61"/>
        <v>200</v>
      </c>
      <c r="V999">
        <f t="shared" si="62"/>
        <v>731280</v>
      </c>
      <c r="W999">
        <f t="shared" si="63"/>
        <v>5280</v>
      </c>
    </row>
    <row r="1000" spans="1:23" x14ac:dyDescent="0.25">
      <c r="A1000" s="212">
        <v>8602260410</v>
      </c>
      <c r="B1000" s="4">
        <v>5501132737</v>
      </c>
      <c r="C1000" s="22"/>
      <c r="D1000" s="5">
        <v>6234000600</v>
      </c>
      <c r="E1000" s="213">
        <v>44661</v>
      </c>
      <c r="F1000" s="211">
        <v>27500</v>
      </c>
      <c r="G1000" s="4" t="s">
        <v>1</v>
      </c>
      <c r="H1000" s="24"/>
      <c r="I1000" s="4">
        <v>0</v>
      </c>
      <c r="J1000" s="210">
        <v>26.04</v>
      </c>
      <c r="K1000" s="24"/>
      <c r="L1000" s="24"/>
      <c r="M1000" s="24"/>
      <c r="N1000" s="24"/>
      <c r="O1000" s="214">
        <v>27700</v>
      </c>
      <c r="P1000" s="24"/>
      <c r="Q1000" s="210">
        <v>26.04</v>
      </c>
      <c r="R1000" s="210">
        <v>26.04</v>
      </c>
      <c r="S1000" t="s">
        <v>433</v>
      </c>
      <c r="T1000">
        <f t="shared" si="60"/>
        <v>716100</v>
      </c>
      <c r="U1000">
        <f t="shared" si="61"/>
        <v>200</v>
      </c>
      <c r="V1000">
        <f t="shared" si="62"/>
        <v>721308</v>
      </c>
      <c r="W1000">
        <f t="shared" si="63"/>
        <v>5208</v>
      </c>
    </row>
    <row r="1001" spans="1:23" x14ac:dyDescent="0.25">
      <c r="A1001" s="212">
        <v>8602260410</v>
      </c>
      <c r="B1001" s="4">
        <v>5501132737</v>
      </c>
      <c r="C1001" s="22"/>
      <c r="D1001" s="5">
        <v>6234000600</v>
      </c>
      <c r="E1001" s="213">
        <v>44680</v>
      </c>
      <c r="F1001" s="211">
        <v>27500</v>
      </c>
      <c r="G1001" s="4" t="s">
        <v>1</v>
      </c>
      <c r="H1001" s="24"/>
      <c r="I1001" s="4">
        <v>0</v>
      </c>
      <c r="J1001" s="210">
        <v>26.56</v>
      </c>
      <c r="K1001" s="24"/>
      <c r="L1001" s="24"/>
      <c r="M1001" s="24"/>
      <c r="N1001" s="24"/>
      <c r="O1001" s="214">
        <v>27650</v>
      </c>
      <c r="P1001" s="24"/>
      <c r="Q1001" s="210">
        <v>26.56</v>
      </c>
      <c r="R1001" s="210">
        <v>26.56</v>
      </c>
      <c r="S1001" t="s">
        <v>433</v>
      </c>
      <c r="T1001">
        <f t="shared" si="60"/>
        <v>730400</v>
      </c>
      <c r="U1001">
        <f t="shared" si="61"/>
        <v>150</v>
      </c>
      <c r="V1001">
        <f t="shared" si="62"/>
        <v>734384</v>
      </c>
      <c r="W1001">
        <f t="shared" si="63"/>
        <v>3984</v>
      </c>
    </row>
    <row r="1002" spans="1:23" x14ac:dyDescent="0.25">
      <c r="A1002" s="212">
        <v>8602260410</v>
      </c>
      <c r="B1002" s="4">
        <v>5501132737</v>
      </c>
      <c r="C1002" s="22"/>
      <c r="D1002" s="5">
        <v>6234000600</v>
      </c>
      <c r="E1002" s="213">
        <v>44681</v>
      </c>
      <c r="F1002" s="211">
        <v>27500</v>
      </c>
      <c r="G1002" s="4" t="s">
        <v>1</v>
      </c>
      <c r="H1002" s="24"/>
      <c r="I1002" s="4">
        <v>0</v>
      </c>
      <c r="J1002" s="210">
        <v>26.7</v>
      </c>
      <c r="K1002" s="24"/>
      <c r="L1002" s="24"/>
      <c r="M1002" s="24"/>
      <c r="N1002" s="24"/>
      <c r="O1002" s="214">
        <v>27650</v>
      </c>
      <c r="P1002" s="24"/>
      <c r="Q1002" s="210">
        <v>26.7</v>
      </c>
      <c r="R1002" s="210">
        <v>26.7</v>
      </c>
      <c r="S1002" t="s">
        <v>433</v>
      </c>
      <c r="T1002">
        <f t="shared" si="60"/>
        <v>734250</v>
      </c>
      <c r="U1002">
        <f t="shared" si="61"/>
        <v>150</v>
      </c>
      <c r="V1002">
        <f t="shared" si="62"/>
        <v>738255</v>
      </c>
      <c r="W1002">
        <f t="shared" si="63"/>
        <v>4005</v>
      </c>
    </row>
    <row r="1003" spans="1:23" x14ac:dyDescent="0.25">
      <c r="A1003" s="212">
        <v>8602260410</v>
      </c>
      <c r="B1003" s="4">
        <v>5501132737</v>
      </c>
      <c r="C1003" s="22"/>
      <c r="D1003" s="5">
        <v>6234000600</v>
      </c>
      <c r="E1003" s="213">
        <v>44682</v>
      </c>
      <c r="F1003" s="211">
        <v>27500</v>
      </c>
      <c r="G1003" s="4" t="s">
        <v>1</v>
      </c>
      <c r="H1003" s="24"/>
      <c r="I1003" s="4">
        <v>0</v>
      </c>
      <c r="J1003" s="210">
        <v>26.06</v>
      </c>
      <c r="K1003" s="24"/>
      <c r="L1003" s="24"/>
      <c r="M1003" s="24"/>
      <c r="N1003" s="24"/>
      <c r="O1003" s="214">
        <v>27650</v>
      </c>
      <c r="P1003" s="24"/>
      <c r="Q1003" s="210">
        <v>26.06</v>
      </c>
      <c r="R1003" s="210">
        <v>26.06</v>
      </c>
      <c r="S1003" t="s">
        <v>433</v>
      </c>
      <c r="T1003">
        <f t="shared" si="60"/>
        <v>716650</v>
      </c>
      <c r="U1003">
        <f t="shared" si="61"/>
        <v>150</v>
      </c>
      <c r="V1003">
        <f t="shared" si="62"/>
        <v>720559</v>
      </c>
      <c r="W1003">
        <f t="shared" si="63"/>
        <v>3909</v>
      </c>
    </row>
    <row r="1004" spans="1:23" x14ac:dyDescent="0.25">
      <c r="A1004" s="6"/>
      <c r="B1004" s="6"/>
      <c r="C1004" s="216"/>
      <c r="D1004" s="6"/>
      <c r="E1004" s="24"/>
      <c r="F1004" s="24"/>
      <c r="G1004" s="5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</row>
    <row r="1005" spans="1:23" x14ac:dyDescent="0.25">
      <c r="A1005" s="24"/>
      <c r="B1005" s="24"/>
      <c r="C1005" s="22"/>
      <c r="D1005" s="24"/>
      <c r="E1005" s="24"/>
      <c r="F1005" s="24"/>
      <c r="G1005" s="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</row>
    <row r="1006" spans="1:23" x14ac:dyDescent="0.25">
      <c r="A1006" s="24"/>
      <c r="B1006" s="24"/>
      <c r="C1006" s="22"/>
      <c r="D1006" s="24"/>
      <c r="E1006" s="24"/>
      <c r="F1006" s="24"/>
      <c r="G1006" s="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</row>
    <row r="1007" spans="1:23" x14ac:dyDescent="0.25">
      <c r="A1007" s="24"/>
      <c r="B1007" s="24"/>
      <c r="C1007" s="22"/>
      <c r="D1007" s="24"/>
      <c r="E1007" s="24"/>
      <c r="F1007" s="24"/>
      <c r="G1007" s="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</row>
    <row r="1008" spans="1:23" x14ac:dyDescent="0.25">
      <c r="A1008" s="24"/>
      <c r="B1008" s="24"/>
      <c r="C1008" s="22"/>
      <c r="D1008" s="24"/>
      <c r="E1008" s="24"/>
      <c r="F1008" s="24"/>
      <c r="G1008" s="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</row>
    <row r="1009" spans="1:18" x14ac:dyDescent="0.25">
      <c r="A1009" s="24"/>
      <c r="B1009" s="24"/>
      <c r="C1009" s="22"/>
      <c r="D1009" s="24"/>
      <c r="E1009" s="24"/>
      <c r="F1009" s="24"/>
      <c r="G1009" s="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</row>
    <row r="1010" spans="1:18" x14ac:dyDescent="0.25">
      <c r="A1010" s="24"/>
      <c r="B1010" s="24"/>
      <c r="C1010" s="22"/>
      <c r="D1010" s="24"/>
      <c r="E1010" s="24"/>
      <c r="F1010" s="24"/>
      <c r="G1010" s="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</row>
    <row r="1011" spans="1:18" x14ac:dyDescent="0.25">
      <c r="A1011" s="24"/>
      <c r="B1011" s="24"/>
      <c r="C1011" s="22"/>
      <c r="D1011" s="24"/>
      <c r="E1011" s="24"/>
      <c r="F1011" s="24"/>
      <c r="G1011" s="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</row>
    <row r="1012" spans="1:18" x14ac:dyDescent="0.25">
      <c r="A1012" s="24"/>
      <c r="B1012" s="24"/>
      <c r="C1012" s="22"/>
      <c r="D1012" s="24"/>
      <c r="E1012" s="24"/>
      <c r="F1012" s="24"/>
      <c r="G1012" s="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</row>
    <row r="1013" spans="1:18" x14ac:dyDescent="0.25">
      <c r="A1013" s="24"/>
      <c r="B1013" s="24"/>
      <c r="C1013" s="22"/>
      <c r="D1013" s="24"/>
      <c r="E1013" s="24"/>
      <c r="F1013" s="24"/>
      <c r="G1013" s="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</row>
    <row r="1014" spans="1:18" x14ac:dyDescent="0.25">
      <c r="A1014" s="24"/>
      <c r="B1014" s="24"/>
      <c r="C1014" s="22"/>
      <c r="D1014" s="24"/>
      <c r="E1014" s="24"/>
      <c r="F1014" s="24"/>
      <c r="G1014" s="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</row>
    <row r="1015" spans="1:18" x14ac:dyDescent="0.25">
      <c r="A1015" s="24"/>
      <c r="B1015" s="24"/>
      <c r="C1015" s="22"/>
      <c r="D1015" s="24"/>
      <c r="E1015" s="24"/>
      <c r="F1015" s="24"/>
      <c r="G1015" s="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</row>
    <row r="1016" spans="1:18" x14ac:dyDescent="0.25">
      <c r="A1016" s="24"/>
      <c r="B1016" s="24"/>
      <c r="C1016" s="22"/>
      <c r="D1016" s="24"/>
      <c r="E1016" s="24"/>
      <c r="F1016" s="24"/>
      <c r="G1016" s="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</row>
    <row r="1017" spans="1:18" x14ac:dyDescent="0.25">
      <c r="A1017" s="24"/>
      <c r="B1017" s="24"/>
      <c r="C1017" s="22"/>
      <c r="D1017" s="24"/>
      <c r="E1017" s="24"/>
      <c r="F1017" s="24"/>
      <c r="G1017" s="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</row>
    <row r="1018" spans="1:18" x14ac:dyDescent="0.25">
      <c r="A1018" s="24"/>
      <c r="B1018" s="24"/>
      <c r="C1018" s="22"/>
      <c r="D1018" s="24"/>
      <c r="E1018" s="24"/>
      <c r="F1018" s="24"/>
      <c r="G1018" s="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</row>
  </sheetData>
  <pageMargins left="0.7" right="0.7" top="0.75" bottom="0.75" header="0.3" footer="0.3"/>
  <pageSetup paperSize="9" orientation="portrait" horizontalDpi="300" verticalDpi="300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 Isakov</dc:creator>
  <cp:lastModifiedBy>WW_prog2</cp:lastModifiedBy>
  <dcterms:created xsi:type="dcterms:W3CDTF">2022-04-29T10:29:26Z</dcterms:created>
  <dcterms:modified xsi:type="dcterms:W3CDTF">2022-05-19T04:56:47Z</dcterms:modified>
</cp:coreProperties>
</file>